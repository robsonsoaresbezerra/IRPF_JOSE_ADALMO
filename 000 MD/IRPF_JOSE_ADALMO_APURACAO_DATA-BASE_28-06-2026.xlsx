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" sheetId="1" state="visible" r:id="rId3"/>
    <sheet name="Recebimentos" sheetId="2" state="visible" r:id="rId4"/>
    <sheet name="Imóveis e pendências" sheetId="3" state="visible" r:id="rId5"/>
    <sheet name="Tax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<sst xmlns="http://schemas.openxmlformats.org/spreadsheetml/2006/main" count="286" uniqueCount="189">
  <si>
    <t xml:space="preserve">IRPF – José Adalmo Carvalho de Barros – Resumo</t>
  </si>
  <si>
    <t xml:space="preserve">CPF 069.351.996-70 | Responsável: Robson Soares Bezerra – Contador – CRC/PR 062711/O | Uso interno</t>
  </si>
  <si>
    <t xml:space="preserve">Data-base dos cálculos (altere aqui)</t>
  </si>
  <si>
    <t xml:space="preserve">Imposto exigível hoje (R$)</t>
  </si>
  <si>
    <t xml:space="preserve">Exposição máxima – hipótese 1, 15% (R$)</t>
  </si>
  <si>
    <t xml:space="preserve">Exposição máxima – hipótese 2, 25% (R$)</t>
  </si>
  <si>
    <t xml:space="preserve">Recebimentos de terceiros sem origem comprovada (R$)</t>
  </si>
  <si>
    <t xml:space="preserve">Imóveis comprados em 2025 (R$)</t>
  </si>
  <si>
    <t xml:space="preserve">Imóveis: vencido sem comprovante de pagamento (R$)</t>
  </si>
  <si>
    <t xml:space="preserve">Situação ano a ano</t>
  </si>
  <si>
    <t xml:space="preserve">Ano</t>
  </si>
  <si>
    <t xml:space="preserve">Situação no Brasil</t>
  </si>
  <si>
    <t xml:space="preserve">Receita pode cobrar até</t>
  </si>
  <si>
    <t xml:space="preserve">Prazo da Receita</t>
  </si>
  <si>
    <t xml:space="preserve">Imposto apurado (R$)</t>
  </si>
  <si>
    <t xml:space="preserve">Hipótese 1 – 15% (R$)</t>
  </si>
  <si>
    <t xml:space="preserve">Hipótese 1 – com juros e multa (R$)</t>
  </si>
  <si>
    <t xml:space="preserve">Hipótese 2 – 25% (R$)</t>
  </si>
  <si>
    <t xml:space="preserve">Hipótese 2 – com juros e multa (R$)</t>
  </si>
  <si>
    <t xml:space="preserve">Observação</t>
  </si>
  <si>
    <t xml:space="preserve">Morava no Brasil</t>
  </si>
  <si>
    <t xml:space="preserve">Declaração entregue (recibo na pasta).</t>
  </si>
  <si>
    <t xml:space="preserve">Entrega informada pelo cliente; recibo não localizado.</t>
  </si>
  <si>
    <t xml:space="preserve">Declaração obrigatória não entregue. Valor só informativo (quadro abaixo).</t>
  </si>
  <si>
    <t xml:space="preserve">Morava até 24/01; fora desde 25/01</t>
  </si>
  <si>
    <t xml:space="preserve">Renda no período abaixo do limite: sem imposto.</t>
  </si>
  <si>
    <t xml:space="preserve">Mora fora</t>
  </si>
  <si>
    <t xml:space="preserve">Renda dos EUA não é tributada no Brasil.</t>
  </si>
  <si>
    <t xml:space="preserve">Faltam extratos brasileiros. Prazo da Receita vence em dezembro.</t>
  </si>
  <si>
    <t xml:space="preserve">Faltam extratos brasileiros.</t>
  </si>
  <si>
    <t xml:space="preserve">Verificar criptomoedas (campo 'ativos digitais' = sim).</t>
  </si>
  <si>
    <t xml:space="preserve">Recebimentos de terceiros a comprovar.</t>
  </si>
  <si>
    <t xml:space="preserve">Terceiros a comprovar; imóveis; NÃO enviar a declaração gerada.</t>
  </si>
  <si>
    <t xml:space="preserve">Até a data-base.</t>
  </si>
  <si>
    <t xml:space="preserve">TOTAL</t>
  </si>
  <si>
    <t xml:space="preserve">Hipótese = o que poderia ser cobrado SE os recebimentos de terceiros forem renda de fonte brasileira. Não é imposto devido. Enquanto a origem não for comprovada, nada é cobrado.</t>
  </si>
  <si>
    <t xml:space="preserve">Imposto de 2018 – cálculo informativo (a Receita não pode mais cobrar)</t>
  </si>
  <si>
    <t xml:space="preserve">Salário nos EUA em 2018 (US$ 25.628) convertido em reais</t>
  </si>
  <si>
    <t xml:space="preserve">Dólar de compra da 1ª quinzena do mês anterior; salário dividido em 12 parcelas iguais (premissa)</t>
  </si>
  <si>
    <t xml:space="preserve">Desconto simplificado</t>
  </si>
  <si>
    <t xml:space="preserve">20% da renda, até o limite</t>
  </si>
  <si>
    <t xml:space="preserve">Base de cálculo</t>
  </si>
  <si>
    <t xml:space="preserve">Imposto pela tabela anual</t>
  </si>
  <si>
    <t xml:space="preserve">O desconto simplificado é o mais vantajoso (o completo daria R$ 13.165,24)</t>
  </si>
  <si>
    <t xml:space="preserve">Imposto pago nos EUA que poderia abater</t>
  </si>
  <si>
    <t xml:space="preserve">Imposto federal dos EUA em 2018 = US$ 0, então não há abatimento</t>
  </si>
  <si>
    <t xml:space="preserve">Juros (Selic) até a data-base</t>
  </si>
  <si>
    <t xml:space="preserve">Vencimento em 30/04/2019</t>
  </si>
  <si>
    <t xml:space="preserve">Multa por atraso</t>
  </si>
  <si>
    <t xml:space="preserve">Limite de 20%</t>
  </si>
  <si>
    <t xml:space="preserve">Total teórico atualizado</t>
  </si>
  <si>
    <t xml:space="preserve">Só informativo</t>
  </si>
  <si>
    <t xml:space="preserve">Imposto de 2018 (sem juros e multa)</t>
  </si>
  <si>
    <t xml:space="preserve">Usado na tabela acima</t>
  </si>
  <si>
    <t xml:space="preserve">Renda e imposto nos EUA (informativo, em US$) – não é tributada no Brasil desde que mora fora</t>
  </si>
  <si>
    <t xml:space="preserve">Tipo de renda</t>
  </si>
  <si>
    <t xml:space="preserve">Receita</t>
  </si>
  <si>
    <t xml:space="preserve">Lucro</t>
  </si>
  <si>
    <t xml:space="preserve">Imposto de renda federal</t>
  </si>
  <si>
    <t xml:space="preserve">Contribuição previdenciária de autônomo</t>
  </si>
  <si>
    <t xml:space="preserve">Salário (empregado)</t>
  </si>
  <si>
    <t xml:space="preserve">Imposto de US$ 164 zerado pelo crédito por filhos.</t>
  </si>
  <si>
    <t xml:space="preserve">Atividade autônoma</t>
  </si>
  <si>
    <t xml:space="preserve">Base tributável zero.</t>
  </si>
  <si>
    <t xml:space="preserve">Participação em sociedade (lucros)</t>
  </si>
  <si>
    <t xml:space="preserve">Total devido US$ 15.480; parte do valor foi inferida (texto ilegível).</t>
  </si>
  <si>
    <t xml:space="preserve">Autônomo + 3 sociedades</t>
  </si>
  <si>
    <t xml:space="preserve">Saldo de US$ 6.963 sem comprovante de pagamento.</t>
  </si>
  <si>
    <t xml:space="preserve">—</t>
  </si>
  <si>
    <t xml:space="preserve">Declaração dos EUA de 2025 não localizada.</t>
  </si>
  <si>
    <t xml:space="preserve">Contribuição previdenciária de autônomo e imposto do estado de Connecticut não geram abatimento no Brasil. Crédito aproveitável: R$ 0,00.</t>
  </si>
  <si>
    <t xml:space="preserve">Recebimentos de terceiros no Brasil sem origem comprovada (conta Nubank, out/2024 a abr/2026)</t>
  </si>
  <si>
    <t xml:space="preserve">Se a origem for comprovada (empréstimo, venda de bem, recurso próprio, doação), troque 'A comprovar' pelo tipo: a linha sai da exposição.</t>
  </si>
  <si>
    <t xml:space="preserve">Data</t>
  </si>
  <si>
    <t xml:space="preserve">Quem enviou</t>
  </si>
  <si>
    <t xml:space="preserve">Valor (R$)</t>
  </si>
  <si>
    <t xml:space="preserve">Origem (preencher)</t>
  </si>
  <si>
    <t xml:space="preserve">Hipótese 1 – imposto (15%)</t>
  </si>
  <si>
    <t xml:space="preserve">Hipótese 2 – imposto (25%)</t>
  </si>
  <si>
    <t xml:space="preserve">Juros (Selic)</t>
  </si>
  <si>
    <t xml:space="preserve">Hipótese 1 – com juros e multa</t>
  </si>
  <si>
    <t xml:space="preserve">Hipótese 2 – com juros e multa</t>
  </si>
  <si>
    <t xml:space="preserve">Leonardo Carvalho Barros</t>
  </si>
  <si>
    <t xml:space="preserve">A comprovar</t>
  </si>
  <si>
    <t xml:space="preserve">Felipe De Melo Rodrigues</t>
  </si>
  <si>
    <t xml:space="preserve">Diego Novais De Melo Fonseca</t>
  </si>
  <si>
    <t xml:space="preserve">Josias Amoreze Cardoso</t>
  </si>
  <si>
    <t xml:space="preserve">Alex Silva De Sousa</t>
  </si>
  <si>
    <t xml:space="preserve">Reginaldo Francisco Bessa</t>
  </si>
  <si>
    <t xml:space="preserve">Geucir Pereira Caldeira</t>
  </si>
  <si>
    <t xml:space="preserve">Wersan Comercio De Combustiveis Ltda</t>
  </si>
  <si>
    <t xml:space="preserve">Andre Werner</t>
  </si>
  <si>
    <t xml:space="preserve">Rodrigo De Oliveira Machado</t>
  </si>
  <si>
    <t xml:space="preserve">Diego Brito Correia</t>
  </si>
  <si>
    <t xml:space="preserve">Valdeni Novais De Melo</t>
  </si>
  <si>
    <t xml:space="preserve">Suely Andreia Leandro Do Nascimento</t>
  </si>
  <si>
    <t xml:space="preserve">Sandro De Araujo Marra</t>
  </si>
  <si>
    <t xml:space="preserve">Imóveis comprados em 2025 e pendências</t>
  </si>
  <si>
    <t xml:space="preserve">Valores em R$.</t>
  </si>
  <si>
    <t xml:space="preserve">Item</t>
  </si>
  <si>
    <t xml:space="preserve">Blue Ocean – Loft 605</t>
  </si>
  <si>
    <t xml:space="preserve">N1 Porto Belo – Apto 303</t>
  </si>
  <si>
    <t xml:space="preserve">Total</t>
  </si>
  <si>
    <t xml:space="preserve">Contrato</t>
  </si>
  <si>
    <t xml:space="preserve">30/07/2025</t>
  </si>
  <si>
    <t xml:space="preserve">Quem comprou</t>
  </si>
  <si>
    <t xml:space="preserve">José (casado com Márcia)</t>
  </si>
  <si>
    <t xml:space="preserve">José e Márcia</t>
  </si>
  <si>
    <t xml:space="preserve">Endereço de moradia escrito no contrato</t>
  </si>
  <si>
    <t xml:space="preserve">Goioerê/PR (Brasil)</t>
  </si>
  <si>
    <t xml:space="preserve">Bethel/CT (EUA)</t>
  </si>
  <si>
    <t xml:space="preserve">Contradiz a condição de quem mora fora</t>
  </si>
  <si>
    <t xml:space="preserve">Preço contratado</t>
  </si>
  <si>
    <t xml:space="preserve">Vencido até 31/12/2025</t>
  </si>
  <si>
    <t xml:space="preserve">Pago pela conta Nubank (comprovado)</t>
  </si>
  <si>
    <t xml:space="preserve">Vencido sem comprovante de pagamento</t>
  </si>
  <si>
    <t xml:space="preserve">Ainda a vencer (a partir de 2026)</t>
  </si>
  <si>
    <t xml:space="preserve">De onde veio o dinheiro que entrou na conta Nubank em 2025</t>
  </si>
  <si>
    <t xml:space="preserve">Origem</t>
  </si>
  <si>
    <t xml:space="preserve">Quantidade</t>
  </si>
  <si>
    <t xml:space="preserve">Remessas do exterior (Daycoval, Remitly, TAPTAP)</t>
  </si>
  <si>
    <t xml:space="preserve">Terceiros no Brasil – origem a comprovar</t>
  </si>
  <si>
    <t xml:space="preserve">Transferências da esposa</t>
  </si>
  <si>
    <t xml:space="preserve">Resgates de aplicação (dinheiro já da conta)</t>
  </si>
  <si>
    <t xml:space="preserve">Estornos</t>
  </si>
  <si>
    <t xml:space="preserve">Total que entrou em 2025</t>
  </si>
  <si>
    <t xml:space="preserve">O que fazer (por prioridade)</t>
  </si>
  <si>
    <t xml:space="preserve">O que está pendente</t>
  </si>
  <si>
    <t xml:space="preserve">Nível</t>
  </si>
  <si>
    <t xml:space="preserve">O que fazer</t>
  </si>
  <si>
    <t xml:space="preserve">Prazo</t>
  </si>
  <si>
    <t xml:space="preserve">Arquivo da declaração de 2026 com endereço em São Paulo</t>
  </si>
  <si>
    <t xml:space="preserve">Crítico</t>
  </si>
  <si>
    <t xml:space="preserve">NÃO enviar. Guardar com nota técnica.</t>
  </si>
  <si>
    <t xml:space="preserve">Imediato</t>
  </si>
  <si>
    <t xml:space="preserve">Recebimentos de terceiros sem origem comprovada (R$ 623.510)</t>
  </si>
  <si>
    <t xml:space="preserve">Alto</t>
  </si>
  <si>
    <t xml:space="preserve">Contrato, recibo, escritura ou declaração de quem pagou, para cada valor.</t>
  </si>
  <si>
    <t xml:space="preserve">30/10/2026</t>
  </si>
  <si>
    <t xml:space="preserve">Data de saída do Brasil (25/01/2018) sem prova em nome do José</t>
  </si>
  <si>
    <t xml:space="preserve">Passaporte, I-94, passagens, carteira de motorista de CT, aluguel em seu nome.</t>
  </si>
  <si>
    <t xml:space="preserve">Contrato Blue Ocean diz que mora em Goioerê/PR</t>
  </si>
  <si>
    <t xml:space="preserve">Corrigir por aditivo ou na escritura; reunir provas de moradia nos EUA.</t>
  </si>
  <si>
    <t xml:space="preserve">Antes da escritura</t>
  </si>
  <si>
    <t xml:space="preserve">R$ 219.215 de imóveis sem comprovante de pagamento</t>
  </si>
  <si>
    <t xml:space="preserve">Extratos das contas usadas (esposa, outras, exterior).</t>
  </si>
  <si>
    <t xml:space="preserve">30/11/2026</t>
  </si>
  <si>
    <t xml:space="preserve">Extratos que faltam (abr–mai/2025, mar/2026 e 2019 a 2023)</t>
  </si>
  <si>
    <t xml:space="preserve">Médio</t>
  </si>
  <si>
    <t xml:space="preserve">Pedir extratos completos de todas as contas no Brasil.</t>
  </si>
  <si>
    <t xml:space="preserve">Criptomoedas em 2023 (campo 'ativos digitais' = sim)</t>
  </si>
  <si>
    <t xml:space="preserve">Informar plataformas e se houve lucro; se for plataforma brasileira, pode haver imposto.</t>
  </si>
  <si>
    <t xml:space="preserve">Remessas do exterior (R$ 180.971,76, 18 operações)</t>
  </si>
  <si>
    <t xml:space="preserve">Reunir contratos de câmbio ou comprovantes de quem enviou.</t>
  </si>
  <si>
    <t xml:space="preserve">Imposto de 2024 nos EUA (US$ 6.963) sem comprovante de pagamento</t>
  </si>
  <si>
    <t xml:space="preserve">Comprovar o pagamento (não afeta o Brasil).</t>
  </si>
  <si>
    <t xml:space="preserve">CPF ainda como morador do Brasil; conta de residente</t>
  </si>
  <si>
    <t xml:space="preserve">Atualizar o CPF como morador no exterior e nomear procurador no Brasil.</t>
  </si>
  <si>
    <t xml:space="preserve">31/12/2026</t>
  </si>
  <si>
    <t xml:space="preserve">Situação fiscal da esposa (Márcia) não analisada</t>
  </si>
  <si>
    <t xml:space="preserve">Fazer a mesma análise e comprovar a origem dos R$ 85.000 enviados.</t>
  </si>
  <si>
    <t xml:space="preserve">Participação em 3 sociedades nos EUA</t>
  </si>
  <si>
    <t xml:space="preserve">Baixo</t>
  </si>
  <si>
    <t xml:space="preserve">Provavelmente sem obrigação de declarar ao Banco Central por morar fora (confirmar).</t>
  </si>
  <si>
    <t xml:space="preserve">Taxas e regras usadas nos cálculos</t>
  </si>
  <si>
    <t xml:space="preserve">Células amarelas com letra azul podem ser alteradas.</t>
  </si>
  <si>
    <t xml:space="preserve">Regra</t>
  </si>
  <si>
    <t xml:space="preserve">Valor</t>
  </si>
  <si>
    <t xml:space="preserve">Multa por dia de atraso</t>
  </si>
  <si>
    <t xml:space="preserve">Lei 9.430/1996, art. 61 (confirmar na fonte oficial)</t>
  </si>
  <si>
    <t xml:space="preserve">Limite da multa</t>
  </si>
  <si>
    <t xml:space="preserve">Máximo de 20%</t>
  </si>
  <si>
    <t xml:space="preserve">Juros extra no mês do pagamento</t>
  </si>
  <si>
    <t xml:space="preserve">Somado à taxa Selic acumulada</t>
  </si>
  <si>
    <t xml:space="preserve">Imposto retido na fonte – hipótese 1</t>
  </si>
  <si>
    <t xml:space="preserve">Regra geral para quem mora fora (confirmar)</t>
  </si>
  <si>
    <t xml:space="preserve">Imposto retido na fonte – hipótese 2</t>
  </si>
  <si>
    <t xml:space="preserve">Trabalho/serviços para quem mora fora (confirmar)</t>
  </si>
  <si>
    <t xml:space="preserve">Desconto simplificado (2018)</t>
  </si>
  <si>
    <t xml:space="preserve">20% da renda, com limite abaixo</t>
  </si>
  <si>
    <t xml:space="preserve">Limite do desconto simplificado (2018)</t>
  </si>
  <si>
    <t xml:space="preserve">Confirmar na fonte oficial</t>
  </si>
  <si>
    <t xml:space="preserve">Tabela do imposto sobre a renda – ano de 2018 (anual)</t>
  </si>
  <si>
    <t xml:space="preserve">Renda a partir de (R$)</t>
  </si>
  <si>
    <t xml:space="preserve">Alíquota</t>
  </si>
  <si>
    <t xml:space="preserve">Parcela a deduzir (R$)</t>
  </si>
  <si>
    <t xml:space="preserve">Taxa Selic mensal (juros cobrados pela Receita) – conferir na fonte oficial (Banco Central, série 4390)</t>
  </si>
  <si>
    <t xml:space="preserve">Mês</t>
  </si>
  <si>
    <t xml:space="preserve">Selic no mês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</si>
</sst>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.00"/>
    <numFmt numFmtId="167" formatCode="0"/>
    <numFmt numFmtId="168" formatCode="#,##0"/>
    <numFmt numFmtId="169" formatCode="0.00%"/>
    <numFmt numFmtId="170" formatCode="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24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8EEF4"/>
      </patternFill>
    </fill>
    <fill>
      <patternFill patternType="solid">
        <fgColor rgb="FFE8EEF4"/>
        <bgColor rgb="FFFFFFFF"/>
      </patternFill>
    </fill>
    <fill>
      <patternFill patternType="solid">
        <fgColor rgb="FF12324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9"/>
      </left>
      <right style="thin">
        <color rgb="FFB0BEC9"/>
      </right>
      <top style="thin">
        <color rgb="FFB0BEC9"/>
      </top>
      <bottom style="thin">
        <color rgb="FFB0BE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9"/>
      <rgbColor rgb="FF808080"/>
      <rgbColor rgb="FF9999FF"/>
      <rgbColor rgb="FF993366"/>
      <rgbColor rgb="FFFFF2CC"/>
      <rgbColor rgb="FFE8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2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n">
        <v>46201</v>
      </c>
    </row>
    <row r="5" customFormat="false" ht="15" hidden="false" customHeight="false" outlineLevel="0" collapsed="false">
      <c r="A5" s="5" t="s">
        <v>3</v>
      </c>
      <c r="B5" s="5"/>
      <c r="C5" s="6" t="n">
        <f aca="false">F25</f>
        <v>0</v>
      </c>
    </row>
    <row r="6" customFormat="false" ht="15" hidden="false" customHeight="false" outlineLevel="0" collapsed="false">
      <c r="A6" s="5" t="s">
        <v>4</v>
      </c>
      <c r="B6" s="5"/>
      <c r="C6" s="6" t="n">
        <f aca="false">H25</f>
        <v>125912.78</v>
      </c>
    </row>
    <row r="7" customFormat="false" ht="15" hidden="false" customHeight="false" outlineLevel="0" collapsed="false">
      <c r="A7" s="5" t="s">
        <v>5</v>
      </c>
      <c r="B7" s="5"/>
      <c r="C7" s="6" t="n">
        <f aca="false">J25</f>
        <v>209854.59</v>
      </c>
    </row>
    <row r="8" customFormat="false" ht="15" hidden="false" customHeight="false" outlineLevel="0" collapsed="false">
      <c r="A8" s="5" t="s">
        <v>6</v>
      </c>
      <c r="B8" s="5"/>
      <c r="C8" s="6" t="n">
        <f aca="false">SUMIFS(Recebimentos!$D$5:$D$42,Recebimentos!$E$5:$E$42,"A comprovar")</f>
        <v>623510</v>
      </c>
    </row>
    <row r="9" customFormat="false" ht="15" hidden="false" customHeight="false" outlineLevel="0" collapsed="false">
      <c r="A9" s="5" t="s">
        <v>7</v>
      </c>
      <c r="B9" s="5"/>
      <c r="C9" s="6" t="n">
        <f aca="false">'Imóveis e pendências'!D8</f>
        <v>1620265</v>
      </c>
    </row>
    <row r="10" customFormat="false" ht="15" hidden="false" customHeight="false" outlineLevel="0" collapsed="false">
      <c r="A10" s="5" t="s">
        <v>8</v>
      </c>
      <c r="B10" s="5"/>
      <c r="C10" s="6" t="n">
        <f aca="false">'Imóveis e pendências'!D11</f>
        <v>219215</v>
      </c>
    </row>
    <row r="12" customFormat="false" ht="15" hidden="false" customHeight="false" outlineLevel="0" collapsed="false">
      <c r="A12" s="7" t="s">
        <v>9</v>
      </c>
    </row>
    <row r="13" customFormat="false" ht="42" hidden="false" customHeight="true" outlineLevel="0" collapsed="false">
      <c r="A13" s="8" t="s">
        <v>10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3</v>
      </c>
      <c r="G13" s="8" t="s">
        <v>15</v>
      </c>
      <c r="H13" s="8" t="s">
        <v>16</v>
      </c>
      <c r="I13" s="8" t="s">
        <v>17</v>
      </c>
      <c r="J13" s="8" t="s">
        <v>18</v>
      </c>
      <c r="K13" s="8" t="s">
        <v>19</v>
      </c>
    </row>
    <row r="14" customFormat="false" ht="15" hidden="false" customHeight="false" outlineLevel="0" collapsed="false">
      <c r="A14" s="9" t="n">
        <v>2016</v>
      </c>
      <c r="B14" s="10" t="s">
        <v>20</v>
      </c>
      <c r="C14" s="11" t="n">
        <v>44926</v>
      </c>
      <c r="D14" s="5" t="str">
        <f aca="false">IF($C$4&gt;C14,"Vencido – não cobrável","Em aberto")</f>
        <v>Vencido – não cobrável</v>
      </c>
      <c r="E14" s="12" t="n">
        <v>0</v>
      </c>
      <c r="F14" s="12" t="n">
        <f aca="false">IF(D14="Em aberto",E14,0)</f>
        <v>0</v>
      </c>
      <c r="G14" s="12" t="n">
        <f aca="false">SUMIFS(Recebimentos!$F$5:$F$42,Recebimentos!$B$5:$B$42,A14)</f>
        <v>0</v>
      </c>
      <c r="H14" s="12" t="n">
        <f aca="false">SUMIFS(Recebimentos!$J$5:$J$42,Recebimentos!$B$5:$B$42,A14)</f>
        <v>0</v>
      </c>
      <c r="I14" s="12" t="n">
        <f aca="false">SUMIFS(Recebimentos!$G$5:$G$42,Recebimentos!$B$5:$B$42,A14)</f>
        <v>0</v>
      </c>
      <c r="J14" s="12" t="n">
        <f aca="false">SUMIFS(Recebimentos!$K$5:$K$42,Recebimentos!$B$5:$B$42,A14)</f>
        <v>0</v>
      </c>
      <c r="K14" s="10" t="s">
        <v>21</v>
      </c>
    </row>
    <row r="15" customFormat="false" ht="15" hidden="false" customHeight="false" outlineLevel="0" collapsed="false">
      <c r="A15" s="9" t="n">
        <v>2017</v>
      </c>
      <c r="B15" s="10" t="s">
        <v>20</v>
      </c>
      <c r="C15" s="11" t="n">
        <v>45291</v>
      </c>
      <c r="D15" s="5" t="str">
        <f aca="false">IF($C$4&gt;C15,"Vencido – não cobrável","Em aberto")</f>
        <v>Vencido – não cobrável</v>
      </c>
      <c r="E15" s="12" t="n">
        <v>0</v>
      </c>
      <c r="F15" s="12" t="n">
        <f aca="false">IF(D15="Em aberto",E15,0)</f>
        <v>0</v>
      </c>
      <c r="G15" s="12" t="n">
        <f aca="false">SUMIFS(Recebimentos!$F$5:$F$42,Recebimentos!$B$5:$B$42,A15)</f>
        <v>0</v>
      </c>
      <c r="H15" s="12" t="n">
        <f aca="false">SUMIFS(Recebimentos!$J$5:$J$42,Recebimentos!$B$5:$B$42,A15)</f>
        <v>0</v>
      </c>
      <c r="I15" s="12" t="n">
        <f aca="false">SUMIFS(Recebimentos!$G$5:$G$42,Recebimentos!$B$5:$B$42,A15)</f>
        <v>0</v>
      </c>
      <c r="J15" s="12" t="n">
        <f aca="false">SUMIFS(Recebimentos!$K$5:$K$42,Recebimentos!$B$5:$B$42,A15)</f>
        <v>0</v>
      </c>
      <c r="K15" s="10" t="s">
        <v>22</v>
      </c>
    </row>
    <row r="16" customFormat="false" ht="23.85" hidden="false" customHeight="false" outlineLevel="0" collapsed="false">
      <c r="A16" s="9" t="n">
        <v>2018</v>
      </c>
      <c r="B16" s="10" t="s">
        <v>20</v>
      </c>
      <c r="C16" s="11" t="n">
        <v>45657</v>
      </c>
      <c r="D16" s="5" t="str">
        <f aca="false">IF($C$4&gt;C16,"Vencido – não cobrável","Em aberto")</f>
        <v>Vencido – não cobrável</v>
      </c>
      <c r="E16" s="12" t="n">
        <f aca="false">B38</f>
        <v>10434.74</v>
      </c>
      <c r="F16" s="12" t="n">
        <f aca="false">IF(D16="Em aberto",E16,0)</f>
        <v>0</v>
      </c>
      <c r="G16" s="12" t="n">
        <f aca="false">SUMIFS(Recebimentos!$F$5:$F$42,Recebimentos!$B$5:$B$42,A16)</f>
        <v>0</v>
      </c>
      <c r="H16" s="12" t="n">
        <f aca="false">SUMIFS(Recebimentos!$J$5:$J$42,Recebimentos!$B$5:$B$42,A16)</f>
        <v>0</v>
      </c>
      <c r="I16" s="12" t="n">
        <f aca="false">SUMIFS(Recebimentos!$G$5:$G$42,Recebimentos!$B$5:$B$42,A16)</f>
        <v>0</v>
      </c>
      <c r="J16" s="12" t="n">
        <f aca="false">SUMIFS(Recebimentos!$K$5:$K$42,Recebimentos!$B$5:$B$42,A16)</f>
        <v>0</v>
      </c>
      <c r="K16" s="10" t="s">
        <v>23</v>
      </c>
    </row>
    <row r="17" customFormat="false" ht="15" hidden="false" customHeight="false" outlineLevel="0" collapsed="false">
      <c r="A17" s="9" t="n">
        <v>2019</v>
      </c>
      <c r="B17" s="10" t="s">
        <v>24</v>
      </c>
      <c r="C17" s="11" t="n">
        <v>46022</v>
      </c>
      <c r="D17" s="5" t="str">
        <f aca="false">IF($C$4&gt;C17,"Vencido – não cobrável","Em aberto")</f>
        <v>Vencido – não cobrável</v>
      </c>
      <c r="E17" s="12" t="n">
        <v>0</v>
      </c>
      <c r="F17" s="12" t="n">
        <f aca="false">IF(D17="Em aberto",E17,0)</f>
        <v>0</v>
      </c>
      <c r="G17" s="12" t="n">
        <f aca="false">SUMIFS(Recebimentos!$F$5:$F$42,Recebimentos!$B$5:$B$42,A17)</f>
        <v>0</v>
      </c>
      <c r="H17" s="12" t="n">
        <f aca="false">SUMIFS(Recebimentos!$J$5:$J$42,Recebimentos!$B$5:$B$42,A17)</f>
        <v>0</v>
      </c>
      <c r="I17" s="12" t="n">
        <f aca="false">SUMIFS(Recebimentos!$G$5:$G$42,Recebimentos!$B$5:$B$42,A17)</f>
        <v>0</v>
      </c>
      <c r="J17" s="12" t="n">
        <f aca="false">SUMIFS(Recebimentos!$K$5:$K$42,Recebimentos!$B$5:$B$42,A17)</f>
        <v>0</v>
      </c>
      <c r="K17" s="10" t="s">
        <v>25</v>
      </c>
    </row>
    <row r="18" customFormat="false" ht="15" hidden="false" customHeight="false" outlineLevel="0" collapsed="false">
      <c r="A18" s="9" t="n">
        <v>2020</v>
      </c>
      <c r="B18" s="10" t="s">
        <v>26</v>
      </c>
      <c r="C18" s="11" t="n">
        <v>46022</v>
      </c>
      <c r="D18" s="5" t="str">
        <f aca="false">IF($C$4&gt;C18,"Vencido – não cobrável","Em aberto")</f>
        <v>Vencido – não cobrável</v>
      </c>
      <c r="E18" s="12" t="n">
        <v>0</v>
      </c>
      <c r="F18" s="12" t="n">
        <f aca="false">IF(D18="Em aberto",E18,0)</f>
        <v>0</v>
      </c>
      <c r="G18" s="12" t="n">
        <f aca="false">SUMIFS(Recebimentos!$F$5:$F$42,Recebimentos!$B$5:$B$42,A18)</f>
        <v>0</v>
      </c>
      <c r="H18" s="12" t="n">
        <f aca="false">SUMIFS(Recebimentos!$J$5:$J$42,Recebimentos!$B$5:$B$42,A18)</f>
        <v>0</v>
      </c>
      <c r="I18" s="12" t="n">
        <f aca="false">SUMIFS(Recebimentos!$G$5:$G$42,Recebimentos!$B$5:$B$42,A18)</f>
        <v>0</v>
      </c>
      <c r="J18" s="12" t="n">
        <f aca="false">SUMIFS(Recebimentos!$K$5:$K$42,Recebimentos!$B$5:$B$42,A18)</f>
        <v>0</v>
      </c>
      <c r="K18" s="10" t="s">
        <v>27</v>
      </c>
    </row>
    <row r="19" customFormat="false" ht="15" hidden="false" customHeight="false" outlineLevel="0" collapsed="false">
      <c r="A19" s="9" t="n">
        <v>2021</v>
      </c>
      <c r="B19" s="10" t="s">
        <v>26</v>
      </c>
      <c r="C19" s="11" t="n">
        <v>46387</v>
      </c>
      <c r="D19" s="5" t="str">
        <f aca="false">IF($C$4&gt;C19,"Vencido – não cobrável","Em aberto")</f>
        <v>Em aberto</v>
      </c>
      <c r="E19" s="12" t="n">
        <v>0</v>
      </c>
      <c r="F19" s="12" t="n">
        <f aca="false">IF(D19="Em aberto",E19,0)</f>
        <v>0</v>
      </c>
      <c r="G19" s="12" t="n">
        <f aca="false">SUMIFS(Recebimentos!$F$5:$F$42,Recebimentos!$B$5:$B$42,A19)</f>
        <v>0</v>
      </c>
      <c r="H19" s="12" t="n">
        <f aca="false">SUMIFS(Recebimentos!$J$5:$J$42,Recebimentos!$B$5:$B$42,A19)</f>
        <v>0</v>
      </c>
      <c r="I19" s="12" t="n">
        <f aca="false">SUMIFS(Recebimentos!$G$5:$G$42,Recebimentos!$B$5:$B$42,A19)</f>
        <v>0</v>
      </c>
      <c r="J19" s="12" t="n">
        <f aca="false">SUMIFS(Recebimentos!$K$5:$K$42,Recebimentos!$B$5:$B$42,A19)</f>
        <v>0</v>
      </c>
      <c r="K19" s="10" t="s">
        <v>28</v>
      </c>
    </row>
    <row r="20" customFormat="false" ht="15" hidden="false" customHeight="false" outlineLevel="0" collapsed="false">
      <c r="A20" s="9" t="n">
        <v>2022</v>
      </c>
      <c r="B20" s="10" t="s">
        <v>26</v>
      </c>
      <c r="C20" s="11" t="n">
        <v>46752</v>
      </c>
      <c r="D20" s="5" t="str">
        <f aca="false">IF($C$4&gt;C20,"Vencido – não cobrável","Em aberto")</f>
        <v>Em aberto</v>
      </c>
      <c r="E20" s="12" t="n">
        <v>0</v>
      </c>
      <c r="F20" s="12" t="n">
        <f aca="false">IF(D20="Em aberto",E20,0)</f>
        <v>0</v>
      </c>
      <c r="G20" s="12" t="n">
        <f aca="false">SUMIFS(Recebimentos!$F$5:$F$42,Recebimentos!$B$5:$B$42,A20)</f>
        <v>0</v>
      </c>
      <c r="H20" s="12" t="n">
        <f aca="false">SUMIFS(Recebimentos!$J$5:$J$42,Recebimentos!$B$5:$B$42,A20)</f>
        <v>0</v>
      </c>
      <c r="I20" s="12" t="n">
        <f aca="false">SUMIFS(Recebimentos!$G$5:$G$42,Recebimentos!$B$5:$B$42,A20)</f>
        <v>0</v>
      </c>
      <c r="J20" s="12" t="n">
        <f aca="false">SUMIFS(Recebimentos!$K$5:$K$42,Recebimentos!$B$5:$B$42,A20)</f>
        <v>0</v>
      </c>
      <c r="K20" s="10" t="s">
        <v>29</v>
      </c>
    </row>
    <row r="21" customFormat="false" ht="15" hidden="false" customHeight="false" outlineLevel="0" collapsed="false">
      <c r="A21" s="9" t="n">
        <v>2023</v>
      </c>
      <c r="B21" s="10" t="s">
        <v>26</v>
      </c>
      <c r="C21" s="11" t="n">
        <v>47118</v>
      </c>
      <c r="D21" s="5" t="str">
        <f aca="false">IF($C$4&gt;C21,"Vencido – não cobrável","Em aberto")</f>
        <v>Em aberto</v>
      </c>
      <c r="E21" s="12" t="n">
        <v>0</v>
      </c>
      <c r="F21" s="12" t="n">
        <f aca="false">IF(D21="Em aberto",E21,0)</f>
        <v>0</v>
      </c>
      <c r="G21" s="12" t="n">
        <f aca="false">SUMIFS(Recebimentos!$F$5:$F$42,Recebimentos!$B$5:$B$42,A21)</f>
        <v>0</v>
      </c>
      <c r="H21" s="12" t="n">
        <f aca="false">SUMIFS(Recebimentos!$J$5:$J$42,Recebimentos!$B$5:$B$42,A21)</f>
        <v>0</v>
      </c>
      <c r="I21" s="12" t="n">
        <f aca="false">SUMIFS(Recebimentos!$G$5:$G$42,Recebimentos!$B$5:$B$42,A21)</f>
        <v>0</v>
      </c>
      <c r="J21" s="12" t="n">
        <f aca="false">SUMIFS(Recebimentos!$K$5:$K$42,Recebimentos!$B$5:$B$42,A21)</f>
        <v>0</v>
      </c>
      <c r="K21" s="10" t="s">
        <v>30</v>
      </c>
    </row>
    <row r="22" customFormat="false" ht="15" hidden="false" customHeight="false" outlineLevel="0" collapsed="false">
      <c r="A22" s="9" t="n">
        <v>2024</v>
      </c>
      <c r="B22" s="10" t="s">
        <v>26</v>
      </c>
      <c r="C22" s="11" t="n">
        <v>47483</v>
      </c>
      <c r="D22" s="5" t="str">
        <f aca="false">IF($C$4&gt;C22,"Vencido – não cobrável","Em aberto")</f>
        <v>Em aberto</v>
      </c>
      <c r="E22" s="12" t="n">
        <v>0</v>
      </c>
      <c r="F22" s="12" t="n">
        <f aca="false">IF(D22="Em aberto",E22,0)</f>
        <v>0</v>
      </c>
      <c r="G22" s="12" t="n">
        <f aca="false">SUMIFS(Recebimentos!$F$5:$F$42,Recebimentos!$B$5:$B$42,A22)</f>
        <v>7117.5</v>
      </c>
      <c r="H22" s="12" t="n">
        <f aca="false">SUMIFS(Recebimentos!$J$5:$J$42,Recebimentos!$B$5:$B$42,A22)</f>
        <v>10031.2</v>
      </c>
      <c r="I22" s="12" t="n">
        <f aca="false">SUMIFS(Recebimentos!$G$5:$G$42,Recebimentos!$B$5:$B$42,A22)</f>
        <v>11862.5</v>
      </c>
      <c r="J22" s="12" t="n">
        <f aca="false">SUMIFS(Recebimentos!$K$5:$K$42,Recebimentos!$B$5:$B$42,A22)</f>
        <v>16718.65</v>
      </c>
      <c r="K22" s="10" t="s">
        <v>31</v>
      </c>
    </row>
    <row r="23" customFormat="false" ht="15" hidden="false" customHeight="false" outlineLevel="0" collapsed="false">
      <c r="A23" s="9" t="n">
        <v>2025</v>
      </c>
      <c r="B23" s="10" t="s">
        <v>26</v>
      </c>
      <c r="C23" s="11" t="n">
        <v>47848</v>
      </c>
      <c r="D23" s="5" t="str">
        <f aca="false">IF($C$4&gt;C23,"Vencido – não cobrável","Em aberto")</f>
        <v>Em aberto</v>
      </c>
      <c r="E23" s="12" t="n">
        <v>0</v>
      </c>
      <c r="F23" s="12" t="n">
        <f aca="false">IF(D23="Em aberto",E23,0)</f>
        <v>0</v>
      </c>
      <c r="G23" s="12" t="n">
        <f aca="false">SUMIFS(Recebimentos!$F$5:$F$42,Recebimentos!$B$5:$B$42,A23)</f>
        <v>85209</v>
      </c>
      <c r="H23" s="12" t="n">
        <f aca="false">SUMIFS(Recebimentos!$J$5:$J$42,Recebimentos!$B$5:$B$42,A23)</f>
        <v>114416.74</v>
      </c>
      <c r="I23" s="12" t="n">
        <f aca="false">SUMIFS(Recebimentos!$G$5:$G$42,Recebimentos!$B$5:$B$42,A23)</f>
        <v>142015</v>
      </c>
      <c r="J23" s="12" t="n">
        <f aca="false">SUMIFS(Recebimentos!$K$5:$K$42,Recebimentos!$B$5:$B$42,A23)</f>
        <v>190694.54</v>
      </c>
      <c r="K23" s="10" t="s">
        <v>32</v>
      </c>
    </row>
    <row r="24" customFormat="false" ht="15" hidden="false" customHeight="false" outlineLevel="0" collapsed="false">
      <c r="A24" s="9" t="n">
        <v>2026</v>
      </c>
      <c r="B24" s="10" t="s">
        <v>26</v>
      </c>
      <c r="C24" s="11" t="n">
        <v>48213</v>
      </c>
      <c r="D24" s="5" t="str">
        <f aca="false">IF($C$4&gt;C24,"Vencido – não cobrável","Em aberto")</f>
        <v>Em aberto</v>
      </c>
      <c r="E24" s="12" t="n">
        <v>0</v>
      </c>
      <c r="F24" s="12" t="n">
        <f aca="false">IF(D24="Em aberto",E24,0)</f>
        <v>0</v>
      </c>
      <c r="G24" s="12" t="n">
        <f aca="false">SUMIFS(Recebimentos!$F$5:$F$42,Recebimentos!$B$5:$B$42,A24)</f>
        <v>1200</v>
      </c>
      <c r="H24" s="12" t="n">
        <f aca="false">SUMIFS(Recebimentos!$J$5:$J$42,Recebimentos!$B$5:$B$42,A24)</f>
        <v>1464.84</v>
      </c>
      <c r="I24" s="12" t="n">
        <f aca="false">SUMIFS(Recebimentos!$G$5:$G$42,Recebimentos!$B$5:$B$42,A24)</f>
        <v>2000</v>
      </c>
      <c r="J24" s="12" t="n">
        <f aca="false">SUMIFS(Recebimentos!$K$5:$K$42,Recebimentos!$B$5:$B$42,A24)</f>
        <v>2441.4</v>
      </c>
      <c r="K24" s="10" t="s">
        <v>33</v>
      </c>
    </row>
    <row r="25" customFormat="false" ht="15" hidden="false" customHeight="false" outlineLevel="0" collapsed="false">
      <c r="A25" s="13" t="s">
        <v>34</v>
      </c>
      <c r="B25" s="13"/>
      <c r="C25" s="13"/>
      <c r="D25" s="13"/>
      <c r="E25" s="6" t="n">
        <f aca="false">SUM(E14:E24)</f>
        <v>10434.74</v>
      </c>
      <c r="F25" s="6" t="n">
        <f aca="false">SUM(F14:F24)</f>
        <v>0</v>
      </c>
      <c r="G25" s="6" t="n">
        <f aca="false">SUM(G14:G24)</f>
        <v>93526.5</v>
      </c>
      <c r="H25" s="6" t="n">
        <f aca="false">SUM(H14:H24)</f>
        <v>125912.78</v>
      </c>
      <c r="I25" s="6" t="n">
        <f aca="false">SUM(I14:I24)</f>
        <v>155877.5</v>
      </c>
      <c r="J25" s="6" t="n">
        <f aca="false">SUM(J14:J24)</f>
        <v>209854.59</v>
      </c>
      <c r="K25" s="13"/>
    </row>
    <row r="26" customFormat="false" ht="15" hidden="false" customHeight="false" outlineLevel="0" collapsed="false">
      <c r="A26" s="14" t="s">
        <v>35</v>
      </c>
    </row>
    <row r="29" customFormat="false" ht="15" hidden="false" customHeight="false" outlineLevel="0" collapsed="false">
      <c r="A29" s="7" t="s">
        <v>36</v>
      </c>
    </row>
    <row r="30" customFormat="false" ht="15" hidden="false" customHeight="true" outlineLevel="0" collapsed="false">
      <c r="A30" s="10" t="s">
        <v>37</v>
      </c>
      <c r="B30" s="15" t="n">
        <v>92634.55</v>
      </c>
      <c r="C30" s="10" t="s">
        <v>38</v>
      </c>
      <c r="D30" s="10"/>
      <c r="E30" s="10"/>
      <c r="F30" s="10"/>
      <c r="G30" s="10"/>
      <c r="H30" s="10"/>
      <c r="I30" s="10"/>
      <c r="J30" s="10"/>
      <c r="K30" s="10"/>
    </row>
    <row r="31" customFormat="false" ht="15" hidden="false" customHeight="true" outlineLevel="0" collapsed="false">
      <c r="A31" s="10" t="s">
        <v>39</v>
      </c>
      <c r="B31" s="12" t="n">
        <f aca="false">MIN(Taxas!$B$9*B30,Taxas!$B$10)</f>
        <v>16754.34</v>
      </c>
      <c r="C31" s="10" t="s">
        <v>40</v>
      </c>
      <c r="D31" s="10"/>
      <c r="E31" s="10"/>
      <c r="F31" s="10"/>
      <c r="G31" s="10"/>
      <c r="H31" s="10"/>
      <c r="I31" s="10"/>
      <c r="J31" s="10"/>
      <c r="K31" s="10"/>
    </row>
    <row r="32" customFormat="false" ht="15" hidden="false" customHeight="false" outlineLevel="0" collapsed="false">
      <c r="A32" s="10" t="s">
        <v>41</v>
      </c>
      <c r="B32" s="12" t="n">
        <f aca="false">B30-B31</f>
        <v>75880.21</v>
      </c>
      <c r="C32" s="10"/>
      <c r="D32" s="10"/>
      <c r="E32" s="10"/>
      <c r="F32" s="10"/>
      <c r="G32" s="10"/>
      <c r="H32" s="10"/>
      <c r="I32" s="10"/>
      <c r="J32" s="10"/>
      <c r="K32" s="10"/>
    </row>
    <row r="33" customFormat="false" ht="15" hidden="false" customHeight="true" outlineLevel="0" collapsed="false">
      <c r="A33" s="10" t="s">
        <v>42</v>
      </c>
      <c r="B33" s="12" t="n">
        <f aca="false">ROUND(MAX(0,B32*LOOKUP(B32,Taxas!$A$14:$A$18,Taxas!$B$14:$B$18)-LOOKUP(B32,Taxas!$A$14:$A$18,Taxas!$C$14:$C$18)),2)</f>
        <v>10434.74</v>
      </c>
      <c r="C33" s="10" t="s">
        <v>43</v>
      </c>
      <c r="D33" s="10"/>
      <c r="E33" s="10"/>
      <c r="F33" s="10"/>
      <c r="G33" s="10"/>
      <c r="H33" s="10"/>
      <c r="I33" s="10"/>
      <c r="J33" s="10"/>
      <c r="K33" s="10"/>
    </row>
    <row r="34" customFormat="false" ht="15" hidden="false" customHeight="true" outlineLevel="0" collapsed="false">
      <c r="A34" s="10" t="s">
        <v>44</v>
      </c>
      <c r="B34" s="15" t="n">
        <v>0</v>
      </c>
      <c r="C34" s="10" t="s">
        <v>45</v>
      </c>
      <c r="D34" s="10"/>
      <c r="E34" s="10"/>
      <c r="F34" s="10"/>
      <c r="G34" s="10"/>
      <c r="H34" s="10"/>
      <c r="I34" s="10"/>
      <c r="J34" s="10"/>
      <c r="K34" s="10"/>
    </row>
    <row r="35" customFormat="false" ht="15" hidden="false" customHeight="false" outlineLevel="0" collapsed="false">
      <c r="A35" s="10" t="s">
        <v>46</v>
      </c>
      <c r="B35" s="12" t="n">
        <f aca="false">ROUND((B33-B34)*(SUMIFS(Taxas!$B$22:$B$110,Taxas!$A$22:$A$110,"&gt;="&amp;DATE(2019,5,1),Taxas!$A$22:$A$110,"&lt;="&amp;DATE(YEAR(Resumo!$C$4),MONTH(Resumo!$C$4)-1,1))+Taxas!$B$6),2)</f>
        <v>6809.71</v>
      </c>
      <c r="C35" s="5" t="s">
        <v>47</v>
      </c>
      <c r="D35" s="5"/>
      <c r="E35" s="5"/>
      <c r="F35" s="5"/>
      <c r="G35" s="5"/>
      <c r="H35" s="5"/>
      <c r="I35" s="5"/>
      <c r="J35" s="5"/>
      <c r="K35" s="5"/>
    </row>
    <row r="36" customFormat="false" ht="15" hidden="false" customHeight="false" outlineLevel="0" collapsed="false">
      <c r="A36" s="10" t="s">
        <v>48</v>
      </c>
      <c r="B36" s="12" t="n">
        <f aca="false">ROUND((B33-B34)*MIN(Taxas!$B$5,Taxas!$B$4*MAX(0,$C$4-DATE(2019,4,30))),2)</f>
        <v>2086.95</v>
      </c>
      <c r="C36" s="5" t="s">
        <v>49</v>
      </c>
      <c r="D36" s="5"/>
      <c r="E36" s="5"/>
      <c r="F36" s="5"/>
      <c r="G36" s="5"/>
      <c r="H36" s="5"/>
      <c r="I36" s="5"/>
      <c r="J36" s="5"/>
      <c r="K36" s="5"/>
    </row>
    <row r="37" customFormat="false" ht="15" hidden="false" customHeight="false" outlineLevel="0" collapsed="false">
      <c r="A37" s="16" t="s">
        <v>50</v>
      </c>
      <c r="B37" s="6" t="n">
        <f aca="false">B33-B34+B35+B36</f>
        <v>19331.4</v>
      </c>
      <c r="C37" s="5" t="s">
        <v>51</v>
      </c>
      <c r="D37" s="5"/>
      <c r="E37" s="5"/>
      <c r="F37" s="5"/>
      <c r="G37" s="5"/>
      <c r="H37" s="5"/>
      <c r="I37" s="5"/>
      <c r="J37" s="5"/>
      <c r="K37" s="5"/>
    </row>
    <row r="38" customFormat="false" ht="15" hidden="false" customHeight="false" outlineLevel="0" collapsed="false">
      <c r="A38" s="16" t="s">
        <v>52</v>
      </c>
      <c r="B38" s="6" t="n">
        <f aca="false">B33-B34</f>
        <v>10434.74</v>
      </c>
      <c r="C38" s="5" t="s">
        <v>53</v>
      </c>
      <c r="D38" s="5"/>
      <c r="E38" s="5"/>
      <c r="F38" s="5"/>
      <c r="G38" s="5"/>
      <c r="H38" s="5"/>
      <c r="I38" s="5"/>
      <c r="J38" s="5"/>
      <c r="K38" s="5"/>
    </row>
    <row r="41" customFormat="false" ht="15" hidden="false" customHeight="false" outlineLevel="0" collapsed="false">
      <c r="A41" s="7" t="s">
        <v>54</v>
      </c>
    </row>
    <row r="42" customFormat="false" ht="42" hidden="false" customHeight="true" outlineLevel="0" collapsed="false">
      <c r="A42" s="8" t="s">
        <v>10</v>
      </c>
      <c r="B42" s="8" t="s">
        <v>55</v>
      </c>
      <c r="C42" s="8" t="s">
        <v>56</v>
      </c>
      <c r="D42" s="8" t="s">
        <v>57</v>
      </c>
      <c r="E42" s="8" t="s">
        <v>58</v>
      </c>
      <c r="F42" s="8" t="s">
        <v>59</v>
      </c>
      <c r="G42" s="8" t="s">
        <v>19</v>
      </c>
    </row>
    <row r="43" customFormat="false" ht="15" hidden="false" customHeight="true" outlineLevel="0" collapsed="false">
      <c r="A43" s="9" t="n">
        <v>2018</v>
      </c>
      <c r="B43" s="10" t="s">
        <v>60</v>
      </c>
      <c r="C43" s="17" t="n">
        <v>25628</v>
      </c>
      <c r="D43" s="17"/>
      <c r="E43" s="17" t="n">
        <v>0</v>
      </c>
      <c r="F43" s="17" t="n">
        <v>0</v>
      </c>
      <c r="G43" s="10" t="s">
        <v>61</v>
      </c>
      <c r="H43" s="10"/>
      <c r="I43" s="10"/>
      <c r="J43" s="10"/>
      <c r="K43" s="10"/>
    </row>
    <row r="44" customFormat="false" ht="15" hidden="false" customHeight="false" outlineLevel="0" collapsed="false">
      <c r="A44" s="9" t="n">
        <v>2019</v>
      </c>
      <c r="B44" s="10" t="s">
        <v>62</v>
      </c>
      <c r="C44" s="17" t="n">
        <v>10000</v>
      </c>
      <c r="D44" s="17" t="n">
        <v>10000</v>
      </c>
      <c r="E44" s="17" t="n">
        <v>0</v>
      </c>
      <c r="F44" s="17" t="n">
        <v>1413</v>
      </c>
      <c r="G44" s="10"/>
      <c r="H44" s="10"/>
      <c r="I44" s="10"/>
      <c r="J44" s="10"/>
      <c r="K44" s="10"/>
    </row>
    <row r="45" customFormat="false" ht="15" hidden="false" customHeight="false" outlineLevel="0" collapsed="false">
      <c r="A45" s="9" t="n">
        <v>2020</v>
      </c>
      <c r="B45" s="10" t="s">
        <v>62</v>
      </c>
      <c r="C45" s="17" t="n">
        <v>30152</v>
      </c>
      <c r="D45" s="17" t="n">
        <v>2252</v>
      </c>
      <c r="E45" s="17" t="n">
        <v>0</v>
      </c>
      <c r="F45" s="17" t="n">
        <v>318</v>
      </c>
      <c r="G45" s="10"/>
      <c r="H45" s="10"/>
      <c r="I45" s="10"/>
      <c r="J45" s="10"/>
      <c r="K45" s="10"/>
    </row>
    <row r="46" customFormat="false" ht="15" hidden="false" customHeight="false" outlineLevel="0" collapsed="false">
      <c r="A46" s="9" t="n">
        <v>2021</v>
      </c>
      <c r="B46" s="10" t="s">
        <v>62</v>
      </c>
      <c r="C46" s="17" t="n">
        <v>35335</v>
      </c>
      <c r="D46" s="17" t="n">
        <v>4870</v>
      </c>
      <c r="E46" s="17" t="n">
        <v>0</v>
      </c>
      <c r="F46" s="17" t="n">
        <v>686</v>
      </c>
      <c r="G46" s="10"/>
      <c r="H46" s="10"/>
      <c r="I46" s="10"/>
      <c r="J46" s="10"/>
      <c r="K46" s="10"/>
    </row>
    <row r="47" customFormat="false" ht="15" hidden="false" customHeight="true" outlineLevel="0" collapsed="false">
      <c r="A47" s="9" t="n">
        <v>2022</v>
      </c>
      <c r="B47" s="10" t="s">
        <v>62</v>
      </c>
      <c r="C47" s="17" t="n">
        <v>40550</v>
      </c>
      <c r="D47" s="17" t="n">
        <v>10823</v>
      </c>
      <c r="E47" s="17" t="n">
        <v>0</v>
      </c>
      <c r="F47" s="17" t="n">
        <v>1529</v>
      </c>
      <c r="G47" s="10" t="s">
        <v>63</v>
      </c>
      <c r="H47" s="10"/>
      <c r="I47" s="10"/>
      <c r="J47" s="10"/>
      <c r="K47" s="10"/>
    </row>
    <row r="48" customFormat="false" ht="15" hidden="false" customHeight="true" outlineLevel="0" collapsed="false">
      <c r="A48" s="9" t="n">
        <v>2023</v>
      </c>
      <c r="B48" s="10" t="s">
        <v>64</v>
      </c>
      <c r="C48" s="17" t="n">
        <v>75383</v>
      </c>
      <c r="D48" s="17" t="n">
        <v>75383</v>
      </c>
      <c r="E48" s="17" t="n">
        <v>4829</v>
      </c>
      <c r="F48" s="17" t="n">
        <v>10651</v>
      </c>
      <c r="G48" s="10" t="s">
        <v>65</v>
      </c>
      <c r="H48" s="10"/>
      <c r="I48" s="10"/>
      <c r="J48" s="10"/>
      <c r="K48" s="10"/>
    </row>
    <row r="49" customFormat="false" ht="15" hidden="false" customHeight="true" outlineLevel="0" collapsed="false">
      <c r="A49" s="9" t="n">
        <v>2024</v>
      </c>
      <c r="B49" s="10" t="s">
        <v>66</v>
      </c>
      <c r="C49" s="17" t="n">
        <v>82153</v>
      </c>
      <c r="D49" s="17" t="n">
        <v>70671</v>
      </c>
      <c r="E49" s="17" t="n">
        <v>5039</v>
      </c>
      <c r="F49" s="17" t="n">
        <v>1623</v>
      </c>
      <c r="G49" s="10" t="s">
        <v>67</v>
      </c>
      <c r="H49" s="10"/>
      <c r="I49" s="10"/>
      <c r="J49" s="10"/>
      <c r="K49" s="10"/>
    </row>
    <row r="50" customFormat="false" ht="15" hidden="false" customHeight="true" outlineLevel="0" collapsed="false">
      <c r="A50" s="9" t="n">
        <v>2025</v>
      </c>
      <c r="B50" s="10" t="s">
        <v>68</v>
      </c>
      <c r="C50" s="17"/>
      <c r="D50" s="17"/>
      <c r="E50" s="17"/>
      <c r="F50" s="17"/>
      <c r="G50" s="10" t="s">
        <v>69</v>
      </c>
      <c r="H50" s="10"/>
      <c r="I50" s="10"/>
      <c r="J50" s="10"/>
      <c r="K50" s="10"/>
    </row>
    <row r="52" customFormat="false" ht="15" hidden="false" customHeight="false" outlineLevel="0" collapsed="false">
      <c r="A52" s="14" t="s">
        <v>70</v>
      </c>
    </row>
  </sheetData>
  <mergeCells count="24">
    <mergeCell ref="A4:B4"/>
    <mergeCell ref="A5:B5"/>
    <mergeCell ref="A6:B6"/>
    <mergeCell ref="A7:B7"/>
    <mergeCell ref="A8:B8"/>
    <mergeCell ref="A9:B9"/>
    <mergeCell ref="A10:B10"/>
    <mergeCell ref="C30:K30"/>
    <mergeCell ref="C31:K31"/>
    <mergeCell ref="C32:K32"/>
    <mergeCell ref="C33:K33"/>
    <mergeCell ref="C34:K34"/>
    <mergeCell ref="C35:K35"/>
    <mergeCell ref="C36:K36"/>
    <mergeCell ref="C37:K37"/>
    <mergeCell ref="C38:K38"/>
    <mergeCell ref="G43:K43"/>
    <mergeCell ref="G44:K44"/>
    <mergeCell ref="G45:K45"/>
    <mergeCell ref="G46:K46"/>
    <mergeCell ref="G47:K47"/>
    <mergeCell ref="G48:K48"/>
    <mergeCell ref="G49:K49"/>
    <mergeCell ref="G50:K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9" min="8" style="0" width="11"/>
    <col collapsed="false" customWidth="true" hidden="false" outlineLevel="0" max="11" min="10" style="0" width="18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42" hidden="false" customHeight="true" outlineLevel="0" collapsed="false">
      <c r="A4" s="8" t="s">
        <v>73</v>
      </c>
      <c r="B4" s="8" t="s">
        <v>10</v>
      </c>
      <c r="C4" s="8" t="s">
        <v>74</v>
      </c>
      <c r="D4" s="8" t="s">
        <v>75</v>
      </c>
      <c r="E4" s="8" t="s">
        <v>76</v>
      </c>
      <c r="F4" s="8" t="s">
        <v>77</v>
      </c>
      <c r="G4" s="8" t="s">
        <v>78</v>
      </c>
      <c r="H4" s="8" t="s">
        <v>79</v>
      </c>
      <c r="I4" s="8" t="s">
        <v>48</v>
      </c>
      <c r="J4" s="8" t="s">
        <v>80</v>
      </c>
      <c r="K4" s="8" t="s">
        <v>81</v>
      </c>
    </row>
    <row r="5" customFormat="false" ht="15" hidden="false" customHeight="false" outlineLevel="0" collapsed="false">
      <c r="A5" s="11" t="n">
        <v>45595</v>
      </c>
      <c r="B5" s="18" t="n">
        <f aca="false">YEAR(A5)</f>
        <v>2024</v>
      </c>
      <c r="C5" s="5" t="s">
        <v>82</v>
      </c>
      <c r="D5" s="12" t="n">
        <v>1000</v>
      </c>
      <c r="E5" s="19" t="s">
        <v>83</v>
      </c>
      <c r="F5" s="12" t="n">
        <f aca="false">IF(E5="A comprovar",ROUND(D5*Taxas!$B$7,2),0)</f>
        <v>150</v>
      </c>
      <c r="G5" s="12" t="n">
        <f aca="false">IF(E5="A comprovar",ROUND(D5*Taxas!$B$8,2),0)</f>
        <v>250</v>
      </c>
      <c r="H5" s="20" t="n">
        <f aca="false">IF(F5&gt;0,SUMIFS(Taxas!$B$22:$B$110,Taxas!$A$22:$A$110,"&gt;="&amp;DATE(YEAR(A5),MONTH(A5)+1,1),Taxas!$A$22:$A$110,"&lt;="&amp;DATE(YEAR(Resumo!$C$4),MONTH(Resumo!$C$4)-1,1))+Taxas!$B$6,0)</f>
        <v>0.2172</v>
      </c>
      <c r="I5" s="20" t="n">
        <f aca="false">IF(F5&gt;0,MIN(Taxas!$B$5,Taxas!$B$4*MAX(0,Resumo!$C$4-A5)),0)</f>
        <v>0.2</v>
      </c>
      <c r="J5" s="12" t="n">
        <f aca="false">ROUND(F5*(1+H5+I5),2)</f>
        <v>212.58</v>
      </c>
      <c r="K5" s="12" t="n">
        <f aca="false">ROUND(G5*(1+H5+I5),2)</f>
        <v>354.3</v>
      </c>
    </row>
    <row r="6" customFormat="false" ht="15" hidden="false" customHeight="false" outlineLevel="0" collapsed="false">
      <c r="A6" s="11" t="n">
        <v>45612</v>
      </c>
      <c r="B6" s="18" t="n">
        <f aca="false">YEAR(A6)</f>
        <v>2024</v>
      </c>
      <c r="C6" s="5" t="s">
        <v>84</v>
      </c>
      <c r="D6" s="12" t="n">
        <v>5000</v>
      </c>
      <c r="E6" s="19" t="s">
        <v>83</v>
      </c>
      <c r="F6" s="12" t="n">
        <f aca="false">IF(E6="A comprovar",ROUND(D6*Taxas!$B$7,2),0)</f>
        <v>750</v>
      </c>
      <c r="G6" s="12" t="n">
        <f aca="false">IF(E6="A comprovar",ROUND(D6*Taxas!$B$8,2),0)</f>
        <v>1250</v>
      </c>
      <c r="H6" s="20" t="n">
        <f aca="false">IF(F6&gt;0,SUMIFS(Taxas!$B$22:$B$110,Taxas!$A$22:$A$110,"&gt;="&amp;DATE(YEAR(A6),MONTH(A6)+1,1),Taxas!$A$22:$A$110,"&lt;="&amp;DATE(YEAR(Resumo!$C$4),MONTH(Resumo!$C$4)-1,1))+Taxas!$B$6,0)</f>
        <v>0.2093</v>
      </c>
      <c r="I6" s="20" t="n">
        <f aca="false">IF(F6&gt;0,MIN(Taxas!$B$5,Taxas!$B$4*MAX(0,Resumo!$C$4-A6)),0)</f>
        <v>0.2</v>
      </c>
      <c r="J6" s="12" t="n">
        <f aca="false">ROUND(F6*(1+H6+I6),2)</f>
        <v>1056.98</v>
      </c>
      <c r="K6" s="12" t="n">
        <f aca="false">ROUND(G6*(1+H6+I6),2)</f>
        <v>1761.63</v>
      </c>
    </row>
    <row r="7" customFormat="false" ht="15" hidden="false" customHeight="false" outlineLevel="0" collapsed="false">
      <c r="A7" s="11" t="n">
        <v>45612</v>
      </c>
      <c r="B7" s="18" t="n">
        <f aca="false">YEAR(A7)</f>
        <v>2024</v>
      </c>
      <c r="C7" s="5" t="s">
        <v>84</v>
      </c>
      <c r="D7" s="12" t="n">
        <v>8000</v>
      </c>
      <c r="E7" s="19" t="s">
        <v>83</v>
      </c>
      <c r="F7" s="12" t="n">
        <f aca="false">IF(E7="A comprovar",ROUND(D7*Taxas!$B$7,2),0)</f>
        <v>1200</v>
      </c>
      <c r="G7" s="12" t="n">
        <f aca="false">IF(E7="A comprovar",ROUND(D7*Taxas!$B$8,2),0)</f>
        <v>2000</v>
      </c>
      <c r="H7" s="20" t="n">
        <f aca="false">IF(F7&gt;0,SUMIFS(Taxas!$B$22:$B$110,Taxas!$A$22:$A$110,"&gt;="&amp;DATE(YEAR(A7),MONTH(A7)+1,1),Taxas!$A$22:$A$110,"&lt;="&amp;DATE(YEAR(Resumo!$C$4),MONTH(Resumo!$C$4)-1,1))+Taxas!$B$6,0)</f>
        <v>0.2093</v>
      </c>
      <c r="I7" s="20" t="n">
        <f aca="false">IF(F7&gt;0,MIN(Taxas!$B$5,Taxas!$B$4*MAX(0,Resumo!$C$4-A7)),0)</f>
        <v>0.2</v>
      </c>
      <c r="J7" s="12" t="n">
        <f aca="false">ROUND(F7*(1+H7+I7),2)</f>
        <v>1691.16</v>
      </c>
      <c r="K7" s="12" t="n">
        <f aca="false">ROUND(G7*(1+H7+I7),2)</f>
        <v>2818.6</v>
      </c>
    </row>
    <row r="8" customFormat="false" ht="15" hidden="false" customHeight="false" outlineLevel="0" collapsed="false">
      <c r="A8" s="11" t="n">
        <v>45612</v>
      </c>
      <c r="B8" s="18" t="n">
        <f aca="false">YEAR(A8)</f>
        <v>2024</v>
      </c>
      <c r="C8" s="5" t="s">
        <v>84</v>
      </c>
      <c r="D8" s="12" t="n">
        <v>3000</v>
      </c>
      <c r="E8" s="19" t="s">
        <v>83</v>
      </c>
      <c r="F8" s="12" t="n">
        <f aca="false">IF(E8="A comprovar",ROUND(D8*Taxas!$B$7,2),0)</f>
        <v>450</v>
      </c>
      <c r="G8" s="12" t="n">
        <f aca="false">IF(E8="A comprovar",ROUND(D8*Taxas!$B$8,2),0)</f>
        <v>750</v>
      </c>
      <c r="H8" s="20" t="n">
        <f aca="false">IF(F8&gt;0,SUMIFS(Taxas!$B$22:$B$110,Taxas!$A$22:$A$110,"&gt;="&amp;DATE(YEAR(A8),MONTH(A8)+1,1),Taxas!$A$22:$A$110,"&lt;="&amp;DATE(YEAR(Resumo!$C$4),MONTH(Resumo!$C$4)-1,1))+Taxas!$B$6,0)</f>
        <v>0.2093</v>
      </c>
      <c r="I8" s="20" t="n">
        <f aca="false">IF(F8&gt;0,MIN(Taxas!$B$5,Taxas!$B$4*MAX(0,Resumo!$C$4-A8)),0)</f>
        <v>0.2</v>
      </c>
      <c r="J8" s="12" t="n">
        <f aca="false">ROUND(F8*(1+H8+I8),2)</f>
        <v>634.19</v>
      </c>
      <c r="K8" s="12" t="n">
        <f aca="false">ROUND(G8*(1+H8+I8),2)</f>
        <v>1056.98</v>
      </c>
    </row>
    <row r="9" customFormat="false" ht="15" hidden="false" customHeight="false" outlineLevel="0" collapsed="false">
      <c r="A9" s="11" t="n">
        <v>45613</v>
      </c>
      <c r="B9" s="18" t="n">
        <f aca="false">YEAR(A9)</f>
        <v>2024</v>
      </c>
      <c r="C9" s="5" t="s">
        <v>84</v>
      </c>
      <c r="D9" s="12" t="n">
        <v>16000</v>
      </c>
      <c r="E9" s="19" t="s">
        <v>83</v>
      </c>
      <c r="F9" s="12" t="n">
        <f aca="false">IF(E9="A comprovar",ROUND(D9*Taxas!$B$7,2),0)</f>
        <v>2400</v>
      </c>
      <c r="G9" s="12" t="n">
        <f aca="false">IF(E9="A comprovar",ROUND(D9*Taxas!$B$8,2),0)</f>
        <v>4000</v>
      </c>
      <c r="H9" s="20" t="n">
        <f aca="false">IF(F9&gt;0,SUMIFS(Taxas!$B$22:$B$110,Taxas!$A$22:$A$110,"&gt;="&amp;DATE(YEAR(A9),MONTH(A9)+1,1),Taxas!$A$22:$A$110,"&lt;="&amp;DATE(YEAR(Resumo!$C$4),MONTH(Resumo!$C$4)-1,1))+Taxas!$B$6,0)</f>
        <v>0.2093</v>
      </c>
      <c r="I9" s="20" t="n">
        <f aca="false">IF(F9&gt;0,MIN(Taxas!$B$5,Taxas!$B$4*MAX(0,Resumo!$C$4-A9)),0)</f>
        <v>0.2</v>
      </c>
      <c r="J9" s="12" t="n">
        <f aca="false">ROUND(F9*(1+H9+I9),2)</f>
        <v>3382.32</v>
      </c>
      <c r="K9" s="12" t="n">
        <f aca="false">ROUND(G9*(1+H9+I9),2)</f>
        <v>5637.2</v>
      </c>
    </row>
    <row r="10" customFormat="false" ht="15" hidden="false" customHeight="false" outlineLevel="0" collapsed="false">
      <c r="A10" s="11" t="n">
        <v>45613</v>
      </c>
      <c r="B10" s="18" t="n">
        <f aca="false">YEAR(A10)</f>
        <v>2024</v>
      </c>
      <c r="C10" s="5" t="s">
        <v>84</v>
      </c>
      <c r="D10" s="12" t="n">
        <v>8000</v>
      </c>
      <c r="E10" s="19" t="s">
        <v>83</v>
      </c>
      <c r="F10" s="12" t="n">
        <f aca="false">IF(E10="A comprovar",ROUND(D10*Taxas!$B$7,2),0)</f>
        <v>1200</v>
      </c>
      <c r="G10" s="12" t="n">
        <f aca="false">IF(E10="A comprovar",ROUND(D10*Taxas!$B$8,2),0)</f>
        <v>2000</v>
      </c>
      <c r="H10" s="20" t="n">
        <f aca="false">IF(F10&gt;0,SUMIFS(Taxas!$B$22:$B$110,Taxas!$A$22:$A$110,"&gt;="&amp;DATE(YEAR(A10),MONTH(A10)+1,1),Taxas!$A$22:$A$110,"&lt;="&amp;DATE(YEAR(Resumo!$C$4),MONTH(Resumo!$C$4)-1,1))+Taxas!$B$6,0)</f>
        <v>0.2093</v>
      </c>
      <c r="I10" s="20" t="n">
        <f aca="false">IF(F10&gt;0,MIN(Taxas!$B$5,Taxas!$B$4*MAX(0,Resumo!$C$4-A10)),0)</f>
        <v>0.2</v>
      </c>
      <c r="J10" s="12" t="n">
        <f aca="false">ROUND(F10*(1+H10+I10),2)</f>
        <v>1691.16</v>
      </c>
      <c r="K10" s="12" t="n">
        <f aca="false">ROUND(G10*(1+H10+I10),2)</f>
        <v>2818.6</v>
      </c>
    </row>
    <row r="11" customFormat="false" ht="15" hidden="false" customHeight="false" outlineLevel="0" collapsed="false">
      <c r="A11" s="11" t="n">
        <v>45614</v>
      </c>
      <c r="B11" s="18" t="n">
        <f aca="false">YEAR(A11)</f>
        <v>2024</v>
      </c>
      <c r="C11" s="5" t="s">
        <v>84</v>
      </c>
      <c r="D11" s="12" t="n">
        <v>4950</v>
      </c>
      <c r="E11" s="19" t="s">
        <v>83</v>
      </c>
      <c r="F11" s="12" t="n">
        <f aca="false">IF(E11="A comprovar",ROUND(D11*Taxas!$B$7,2),0)</f>
        <v>742.5</v>
      </c>
      <c r="G11" s="12" t="n">
        <f aca="false">IF(E11="A comprovar",ROUND(D11*Taxas!$B$8,2),0)</f>
        <v>1237.5</v>
      </c>
      <c r="H11" s="20" t="n">
        <f aca="false">IF(F11&gt;0,SUMIFS(Taxas!$B$22:$B$110,Taxas!$A$22:$A$110,"&gt;="&amp;DATE(YEAR(A11),MONTH(A11)+1,1),Taxas!$A$22:$A$110,"&lt;="&amp;DATE(YEAR(Resumo!$C$4),MONTH(Resumo!$C$4)-1,1))+Taxas!$B$6,0)</f>
        <v>0.2093</v>
      </c>
      <c r="I11" s="20" t="n">
        <f aca="false">IF(F11&gt;0,MIN(Taxas!$B$5,Taxas!$B$4*MAX(0,Resumo!$C$4-A11)),0)</f>
        <v>0.2</v>
      </c>
      <c r="J11" s="12" t="n">
        <f aca="false">ROUND(F11*(1+H11+I11),2)</f>
        <v>1046.41</v>
      </c>
      <c r="K11" s="12" t="n">
        <f aca="false">ROUND(G11*(1+H11+I11),2)</f>
        <v>1744.01</v>
      </c>
    </row>
    <row r="12" customFormat="false" ht="15" hidden="false" customHeight="false" outlineLevel="0" collapsed="false">
      <c r="A12" s="11" t="n">
        <v>45625</v>
      </c>
      <c r="B12" s="18" t="n">
        <f aca="false">YEAR(A12)</f>
        <v>2024</v>
      </c>
      <c r="C12" s="5" t="s">
        <v>85</v>
      </c>
      <c r="D12" s="12" t="n">
        <v>1000</v>
      </c>
      <c r="E12" s="19" t="s">
        <v>83</v>
      </c>
      <c r="F12" s="12" t="n">
        <f aca="false">IF(E12="A comprovar",ROUND(D12*Taxas!$B$7,2),0)</f>
        <v>150</v>
      </c>
      <c r="G12" s="12" t="n">
        <f aca="false">IF(E12="A comprovar",ROUND(D12*Taxas!$B$8,2),0)</f>
        <v>250</v>
      </c>
      <c r="H12" s="20" t="n">
        <f aca="false">IF(F12&gt;0,SUMIFS(Taxas!$B$22:$B$110,Taxas!$A$22:$A$110,"&gt;="&amp;DATE(YEAR(A12),MONTH(A12)+1,1),Taxas!$A$22:$A$110,"&lt;="&amp;DATE(YEAR(Resumo!$C$4),MONTH(Resumo!$C$4)-1,1))+Taxas!$B$6,0)</f>
        <v>0.2093</v>
      </c>
      <c r="I12" s="20" t="n">
        <f aca="false">IF(F12&gt;0,MIN(Taxas!$B$5,Taxas!$B$4*MAX(0,Resumo!$C$4-A12)),0)</f>
        <v>0.2</v>
      </c>
      <c r="J12" s="12" t="n">
        <f aca="false">ROUND(F12*(1+H12+I12),2)</f>
        <v>211.4</v>
      </c>
      <c r="K12" s="12" t="n">
        <f aca="false">ROUND(G12*(1+H12+I12),2)</f>
        <v>352.33</v>
      </c>
    </row>
    <row r="13" customFormat="false" ht="15" hidden="false" customHeight="false" outlineLevel="0" collapsed="false">
      <c r="A13" s="11" t="n">
        <v>45631</v>
      </c>
      <c r="B13" s="18" t="n">
        <f aca="false">YEAR(A13)</f>
        <v>2024</v>
      </c>
      <c r="C13" s="5" t="s">
        <v>82</v>
      </c>
      <c r="D13" s="12" t="n">
        <v>500</v>
      </c>
      <c r="E13" s="19" t="s">
        <v>83</v>
      </c>
      <c r="F13" s="12" t="n">
        <f aca="false">IF(E13="A comprovar",ROUND(D13*Taxas!$B$7,2),0)</f>
        <v>75</v>
      </c>
      <c r="G13" s="12" t="n">
        <f aca="false">IF(E13="A comprovar",ROUND(D13*Taxas!$B$8,2),0)</f>
        <v>125</v>
      </c>
      <c r="H13" s="20" t="n">
        <f aca="false">IF(F13&gt;0,SUMIFS(Taxas!$B$22:$B$110,Taxas!$A$22:$A$110,"&gt;="&amp;DATE(YEAR(A13),MONTH(A13)+1,1),Taxas!$A$22:$A$110,"&lt;="&amp;DATE(YEAR(Resumo!$C$4),MONTH(Resumo!$C$4)-1,1))+Taxas!$B$6,0)</f>
        <v>0.2</v>
      </c>
      <c r="I13" s="20" t="n">
        <f aca="false">IF(F13&gt;0,MIN(Taxas!$B$5,Taxas!$B$4*MAX(0,Resumo!$C$4-A13)),0)</f>
        <v>0.2</v>
      </c>
      <c r="J13" s="12" t="n">
        <f aca="false">ROUND(F13*(1+H13+I13),2)</f>
        <v>105</v>
      </c>
      <c r="K13" s="12" t="n">
        <f aca="false">ROUND(G13*(1+H13+I13),2)</f>
        <v>175</v>
      </c>
    </row>
    <row r="14" customFormat="false" ht="15" hidden="false" customHeight="false" outlineLevel="0" collapsed="false">
      <c r="A14" s="11" t="n">
        <v>45665</v>
      </c>
      <c r="B14" s="18" t="n">
        <f aca="false">YEAR(A14)</f>
        <v>2025</v>
      </c>
      <c r="C14" s="5" t="s">
        <v>85</v>
      </c>
      <c r="D14" s="12" t="n">
        <v>1000</v>
      </c>
      <c r="E14" s="19" t="s">
        <v>83</v>
      </c>
      <c r="F14" s="12" t="n">
        <f aca="false">IF(E14="A comprovar",ROUND(D14*Taxas!$B$7,2),0)</f>
        <v>150</v>
      </c>
      <c r="G14" s="12" t="n">
        <f aca="false">IF(E14="A comprovar",ROUND(D14*Taxas!$B$8,2),0)</f>
        <v>250</v>
      </c>
      <c r="H14" s="20" t="n">
        <f aca="false">IF(F14&gt;0,SUMIFS(Taxas!$B$22:$B$110,Taxas!$A$22:$A$110,"&gt;="&amp;DATE(YEAR(A14),MONTH(A14)+1,1),Taxas!$A$22:$A$110,"&lt;="&amp;DATE(YEAR(Resumo!$C$4),MONTH(Resumo!$C$4)-1,1))+Taxas!$B$6,0)</f>
        <v>0.1899</v>
      </c>
      <c r="I14" s="20" t="n">
        <f aca="false">IF(F14&gt;0,MIN(Taxas!$B$5,Taxas!$B$4*MAX(0,Resumo!$C$4-A14)),0)</f>
        <v>0.2</v>
      </c>
      <c r="J14" s="12" t="n">
        <f aca="false">ROUND(F14*(1+H14+I14),2)</f>
        <v>208.49</v>
      </c>
      <c r="K14" s="12" t="n">
        <f aca="false">ROUND(G14*(1+H14+I14),2)</f>
        <v>347.48</v>
      </c>
    </row>
    <row r="15" customFormat="false" ht="15" hidden="false" customHeight="false" outlineLevel="0" collapsed="false">
      <c r="A15" s="11" t="n">
        <v>45673</v>
      </c>
      <c r="B15" s="18" t="n">
        <f aca="false">YEAR(A15)</f>
        <v>2025</v>
      </c>
      <c r="C15" s="5" t="s">
        <v>86</v>
      </c>
      <c r="D15" s="12" t="n">
        <v>300</v>
      </c>
      <c r="E15" s="19" t="s">
        <v>83</v>
      </c>
      <c r="F15" s="12" t="n">
        <f aca="false">IF(E15="A comprovar",ROUND(D15*Taxas!$B$7,2),0)</f>
        <v>45</v>
      </c>
      <c r="G15" s="12" t="n">
        <f aca="false">IF(E15="A comprovar",ROUND(D15*Taxas!$B$8,2),0)</f>
        <v>75</v>
      </c>
      <c r="H15" s="20" t="n">
        <f aca="false">IF(F15&gt;0,SUMIFS(Taxas!$B$22:$B$110,Taxas!$A$22:$A$110,"&gt;="&amp;DATE(YEAR(A15),MONTH(A15)+1,1),Taxas!$A$22:$A$110,"&lt;="&amp;DATE(YEAR(Resumo!$C$4),MONTH(Resumo!$C$4)-1,1))+Taxas!$B$6,0)</f>
        <v>0.1899</v>
      </c>
      <c r="I15" s="20" t="n">
        <f aca="false">IF(F15&gt;0,MIN(Taxas!$B$5,Taxas!$B$4*MAX(0,Resumo!$C$4-A15)),0)</f>
        <v>0.2</v>
      </c>
      <c r="J15" s="12" t="n">
        <f aca="false">ROUND(F15*(1+H15+I15),2)</f>
        <v>62.55</v>
      </c>
      <c r="K15" s="12" t="n">
        <f aca="false">ROUND(G15*(1+H15+I15),2)</f>
        <v>104.24</v>
      </c>
    </row>
    <row r="16" customFormat="false" ht="15" hidden="false" customHeight="false" outlineLevel="0" collapsed="false">
      <c r="A16" s="11" t="n">
        <v>45677</v>
      </c>
      <c r="B16" s="18" t="n">
        <f aca="false">YEAR(A16)</f>
        <v>2025</v>
      </c>
      <c r="C16" s="5" t="s">
        <v>82</v>
      </c>
      <c r="D16" s="12" t="n">
        <v>500</v>
      </c>
      <c r="E16" s="19" t="s">
        <v>83</v>
      </c>
      <c r="F16" s="12" t="n">
        <f aca="false">IF(E16="A comprovar",ROUND(D16*Taxas!$B$7,2),0)</f>
        <v>75</v>
      </c>
      <c r="G16" s="12" t="n">
        <f aca="false">IF(E16="A comprovar",ROUND(D16*Taxas!$B$8,2),0)</f>
        <v>125</v>
      </c>
      <c r="H16" s="20" t="n">
        <f aca="false">IF(F16&gt;0,SUMIFS(Taxas!$B$22:$B$110,Taxas!$A$22:$A$110,"&gt;="&amp;DATE(YEAR(A16),MONTH(A16)+1,1),Taxas!$A$22:$A$110,"&lt;="&amp;DATE(YEAR(Resumo!$C$4),MONTH(Resumo!$C$4)-1,1))+Taxas!$B$6,0)</f>
        <v>0.1899</v>
      </c>
      <c r="I16" s="20" t="n">
        <f aca="false">IF(F16&gt;0,MIN(Taxas!$B$5,Taxas!$B$4*MAX(0,Resumo!$C$4-A16)),0)</f>
        <v>0.2</v>
      </c>
      <c r="J16" s="12" t="n">
        <f aca="false">ROUND(F16*(1+H16+I16),2)</f>
        <v>104.24</v>
      </c>
      <c r="K16" s="12" t="n">
        <f aca="false">ROUND(G16*(1+H16+I16),2)</f>
        <v>173.74</v>
      </c>
    </row>
    <row r="17" customFormat="false" ht="15" hidden="false" customHeight="false" outlineLevel="0" collapsed="false">
      <c r="A17" s="11" t="n">
        <v>45683</v>
      </c>
      <c r="B17" s="18" t="n">
        <f aca="false">YEAR(A17)</f>
        <v>2025</v>
      </c>
      <c r="C17" s="5" t="s">
        <v>87</v>
      </c>
      <c r="D17" s="12" t="n">
        <v>5870</v>
      </c>
      <c r="E17" s="19" t="s">
        <v>83</v>
      </c>
      <c r="F17" s="12" t="n">
        <f aca="false">IF(E17="A comprovar",ROUND(D17*Taxas!$B$7,2),0)</f>
        <v>880.5</v>
      </c>
      <c r="G17" s="12" t="n">
        <f aca="false">IF(E17="A comprovar",ROUND(D17*Taxas!$B$8,2),0)</f>
        <v>1467.5</v>
      </c>
      <c r="H17" s="20" t="n">
        <f aca="false">IF(F17&gt;0,SUMIFS(Taxas!$B$22:$B$110,Taxas!$A$22:$A$110,"&gt;="&amp;DATE(YEAR(A17),MONTH(A17)+1,1),Taxas!$A$22:$A$110,"&lt;="&amp;DATE(YEAR(Resumo!$C$4),MONTH(Resumo!$C$4)-1,1))+Taxas!$B$6,0)</f>
        <v>0.1899</v>
      </c>
      <c r="I17" s="20" t="n">
        <f aca="false">IF(F17&gt;0,MIN(Taxas!$B$5,Taxas!$B$4*MAX(0,Resumo!$C$4-A17)),0)</f>
        <v>0.2</v>
      </c>
      <c r="J17" s="12" t="n">
        <f aca="false">ROUND(F17*(1+H17+I17),2)</f>
        <v>1223.81</v>
      </c>
      <c r="K17" s="12" t="n">
        <f aca="false">ROUND(G17*(1+H17+I17),2)</f>
        <v>2039.68</v>
      </c>
    </row>
    <row r="18" customFormat="false" ht="15" hidden="false" customHeight="false" outlineLevel="0" collapsed="false">
      <c r="A18" s="11" t="n">
        <v>45692</v>
      </c>
      <c r="B18" s="18" t="n">
        <f aca="false">YEAR(A18)</f>
        <v>2025</v>
      </c>
      <c r="C18" s="5" t="s">
        <v>88</v>
      </c>
      <c r="D18" s="12" t="n">
        <v>190000</v>
      </c>
      <c r="E18" s="19" t="s">
        <v>83</v>
      </c>
      <c r="F18" s="12" t="n">
        <f aca="false">IF(E18="A comprovar",ROUND(D18*Taxas!$B$7,2),0)</f>
        <v>28500</v>
      </c>
      <c r="G18" s="12" t="n">
        <f aca="false">IF(E18="A comprovar",ROUND(D18*Taxas!$B$8,2),0)</f>
        <v>47500</v>
      </c>
      <c r="H18" s="20" t="n">
        <f aca="false">IF(F18&gt;0,SUMIFS(Taxas!$B$22:$B$110,Taxas!$A$22:$A$110,"&gt;="&amp;DATE(YEAR(A18),MONTH(A18)+1,1),Taxas!$A$22:$A$110,"&lt;="&amp;DATE(YEAR(Resumo!$C$4),MONTH(Resumo!$C$4)-1,1))+Taxas!$B$6,0)</f>
        <v>0.18</v>
      </c>
      <c r="I18" s="20" t="n">
        <f aca="false">IF(F18&gt;0,MIN(Taxas!$B$5,Taxas!$B$4*MAX(0,Resumo!$C$4-A18)),0)</f>
        <v>0.2</v>
      </c>
      <c r="J18" s="12" t="n">
        <f aca="false">ROUND(F18*(1+H18+I18),2)</f>
        <v>39330</v>
      </c>
      <c r="K18" s="12" t="n">
        <f aca="false">ROUND(G18*(1+H18+I18),2)</f>
        <v>65550</v>
      </c>
    </row>
    <row r="19" customFormat="false" ht="15" hidden="false" customHeight="false" outlineLevel="0" collapsed="false">
      <c r="A19" s="11" t="n">
        <v>45702</v>
      </c>
      <c r="B19" s="18" t="n">
        <f aca="false">YEAR(A19)</f>
        <v>2025</v>
      </c>
      <c r="C19" s="5" t="s">
        <v>85</v>
      </c>
      <c r="D19" s="12" t="n">
        <v>10000</v>
      </c>
      <c r="E19" s="19" t="s">
        <v>83</v>
      </c>
      <c r="F19" s="12" t="n">
        <f aca="false">IF(E19="A comprovar",ROUND(D19*Taxas!$B$7,2),0)</f>
        <v>1500</v>
      </c>
      <c r="G19" s="12" t="n">
        <f aca="false">IF(E19="A comprovar",ROUND(D19*Taxas!$B$8,2),0)</f>
        <v>2500</v>
      </c>
      <c r="H19" s="20" t="n">
        <f aca="false">IF(F19&gt;0,SUMIFS(Taxas!$B$22:$B$110,Taxas!$A$22:$A$110,"&gt;="&amp;DATE(YEAR(A19),MONTH(A19)+1,1),Taxas!$A$22:$A$110,"&lt;="&amp;DATE(YEAR(Resumo!$C$4),MONTH(Resumo!$C$4)-1,1))+Taxas!$B$6,0)</f>
        <v>0.18</v>
      </c>
      <c r="I19" s="20" t="n">
        <f aca="false">IF(F19&gt;0,MIN(Taxas!$B$5,Taxas!$B$4*MAX(0,Resumo!$C$4-A19)),0)</f>
        <v>0.2</v>
      </c>
      <c r="J19" s="12" t="n">
        <f aca="false">ROUND(F19*(1+H19+I19),2)</f>
        <v>2070</v>
      </c>
      <c r="K19" s="12" t="n">
        <f aca="false">ROUND(G19*(1+H19+I19),2)</f>
        <v>3450</v>
      </c>
    </row>
    <row r="20" customFormat="false" ht="15" hidden="false" customHeight="false" outlineLevel="0" collapsed="false">
      <c r="A20" s="11" t="n">
        <v>45705</v>
      </c>
      <c r="B20" s="18" t="n">
        <f aca="false">YEAR(A20)</f>
        <v>2025</v>
      </c>
      <c r="C20" s="5" t="s">
        <v>85</v>
      </c>
      <c r="D20" s="12" t="n">
        <v>2500</v>
      </c>
      <c r="E20" s="19" t="s">
        <v>83</v>
      </c>
      <c r="F20" s="12" t="n">
        <f aca="false">IF(E20="A comprovar",ROUND(D20*Taxas!$B$7,2),0)</f>
        <v>375</v>
      </c>
      <c r="G20" s="12" t="n">
        <f aca="false">IF(E20="A comprovar",ROUND(D20*Taxas!$B$8,2),0)</f>
        <v>625</v>
      </c>
      <c r="H20" s="20" t="n">
        <f aca="false">IF(F20&gt;0,SUMIFS(Taxas!$B$22:$B$110,Taxas!$A$22:$A$110,"&gt;="&amp;DATE(YEAR(A20),MONTH(A20)+1,1),Taxas!$A$22:$A$110,"&lt;="&amp;DATE(YEAR(Resumo!$C$4),MONTH(Resumo!$C$4)-1,1))+Taxas!$B$6,0)</f>
        <v>0.18</v>
      </c>
      <c r="I20" s="20" t="n">
        <f aca="false">IF(F20&gt;0,MIN(Taxas!$B$5,Taxas!$B$4*MAX(0,Resumo!$C$4-A20)),0)</f>
        <v>0.2</v>
      </c>
      <c r="J20" s="12" t="n">
        <f aca="false">ROUND(F20*(1+H20+I20),2)</f>
        <v>517.5</v>
      </c>
      <c r="K20" s="12" t="n">
        <f aca="false">ROUND(G20*(1+H20+I20),2)</f>
        <v>862.5</v>
      </c>
    </row>
    <row r="21" customFormat="false" ht="15" hidden="false" customHeight="false" outlineLevel="0" collapsed="false">
      <c r="A21" s="11" t="n">
        <v>45709</v>
      </c>
      <c r="B21" s="18" t="n">
        <f aca="false">YEAR(A21)</f>
        <v>2025</v>
      </c>
      <c r="C21" s="5" t="s">
        <v>89</v>
      </c>
      <c r="D21" s="12" t="n">
        <v>40000</v>
      </c>
      <c r="E21" s="19" t="s">
        <v>83</v>
      </c>
      <c r="F21" s="12" t="n">
        <f aca="false">IF(E21="A comprovar",ROUND(D21*Taxas!$B$7,2),0)</f>
        <v>6000</v>
      </c>
      <c r="G21" s="12" t="n">
        <f aca="false">IF(E21="A comprovar",ROUND(D21*Taxas!$B$8,2),0)</f>
        <v>10000</v>
      </c>
      <c r="H21" s="20" t="n">
        <f aca="false">IF(F21&gt;0,SUMIFS(Taxas!$B$22:$B$110,Taxas!$A$22:$A$110,"&gt;="&amp;DATE(YEAR(A21),MONTH(A21)+1,1),Taxas!$A$22:$A$110,"&lt;="&amp;DATE(YEAR(Resumo!$C$4),MONTH(Resumo!$C$4)-1,1))+Taxas!$B$6,0)</f>
        <v>0.18</v>
      </c>
      <c r="I21" s="20" t="n">
        <f aca="false">IF(F21&gt;0,MIN(Taxas!$B$5,Taxas!$B$4*MAX(0,Resumo!$C$4-A21)),0)</f>
        <v>0.2</v>
      </c>
      <c r="J21" s="12" t="n">
        <f aca="false">ROUND(F21*(1+H21+I21),2)</f>
        <v>8280</v>
      </c>
      <c r="K21" s="12" t="n">
        <f aca="false">ROUND(G21*(1+H21+I21),2)</f>
        <v>13800</v>
      </c>
    </row>
    <row r="22" customFormat="false" ht="15" hidden="false" customHeight="false" outlineLevel="0" collapsed="false">
      <c r="A22" s="11" t="n">
        <v>45852</v>
      </c>
      <c r="B22" s="18" t="n">
        <f aca="false">YEAR(A22)</f>
        <v>2025</v>
      </c>
      <c r="C22" s="5" t="s">
        <v>84</v>
      </c>
      <c r="D22" s="12" t="n">
        <v>10000</v>
      </c>
      <c r="E22" s="19" t="s">
        <v>83</v>
      </c>
      <c r="F22" s="12" t="n">
        <f aca="false">IF(E22="A comprovar",ROUND(D22*Taxas!$B$7,2),0)</f>
        <v>1500</v>
      </c>
      <c r="G22" s="12" t="n">
        <f aca="false">IF(E22="A comprovar",ROUND(D22*Taxas!$B$8,2),0)</f>
        <v>2500</v>
      </c>
      <c r="H22" s="20" t="n">
        <f aca="false">IF(F22&gt;0,SUMIFS(Taxas!$B$22:$B$110,Taxas!$A$22:$A$110,"&gt;="&amp;DATE(YEAR(A22),MONTH(A22)+1,1),Taxas!$A$22:$A$110,"&lt;="&amp;DATE(YEAR(Resumo!$C$4),MONTH(Resumo!$C$4)-1,1))+Taxas!$B$6,0)</f>
        <v>0.1246</v>
      </c>
      <c r="I22" s="20" t="n">
        <f aca="false">IF(F22&gt;0,MIN(Taxas!$B$5,Taxas!$B$4*MAX(0,Resumo!$C$4-A22)),0)</f>
        <v>0.2</v>
      </c>
      <c r="J22" s="12" t="n">
        <f aca="false">ROUND(F22*(1+H22+I22),2)</f>
        <v>1986.9</v>
      </c>
      <c r="K22" s="12" t="n">
        <f aca="false">ROUND(G22*(1+H22+I22),2)</f>
        <v>3311.5</v>
      </c>
    </row>
    <row r="23" customFormat="false" ht="15" hidden="false" customHeight="false" outlineLevel="0" collapsed="false">
      <c r="A23" s="11" t="n">
        <v>45853</v>
      </c>
      <c r="B23" s="18" t="n">
        <f aca="false">YEAR(A23)</f>
        <v>2025</v>
      </c>
      <c r="C23" s="5" t="s">
        <v>84</v>
      </c>
      <c r="D23" s="12" t="n">
        <v>10000</v>
      </c>
      <c r="E23" s="19" t="s">
        <v>83</v>
      </c>
      <c r="F23" s="12" t="n">
        <f aca="false">IF(E23="A comprovar",ROUND(D23*Taxas!$B$7,2),0)</f>
        <v>1500</v>
      </c>
      <c r="G23" s="12" t="n">
        <f aca="false">IF(E23="A comprovar",ROUND(D23*Taxas!$B$8,2),0)</f>
        <v>2500</v>
      </c>
      <c r="H23" s="20" t="n">
        <f aca="false">IF(F23&gt;0,SUMIFS(Taxas!$B$22:$B$110,Taxas!$A$22:$A$110,"&gt;="&amp;DATE(YEAR(A23),MONTH(A23)+1,1),Taxas!$A$22:$A$110,"&lt;="&amp;DATE(YEAR(Resumo!$C$4),MONTH(Resumo!$C$4)-1,1))+Taxas!$B$6,0)</f>
        <v>0.1246</v>
      </c>
      <c r="I23" s="20" t="n">
        <f aca="false">IF(F23&gt;0,MIN(Taxas!$B$5,Taxas!$B$4*MAX(0,Resumo!$C$4-A23)),0)</f>
        <v>0.2</v>
      </c>
      <c r="J23" s="12" t="n">
        <f aca="false">ROUND(F23*(1+H23+I23),2)</f>
        <v>1986.9</v>
      </c>
      <c r="K23" s="12" t="n">
        <f aca="false">ROUND(G23*(1+H23+I23),2)</f>
        <v>3311.5</v>
      </c>
    </row>
    <row r="24" customFormat="false" ht="15" hidden="false" customHeight="false" outlineLevel="0" collapsed="false">
      <c r="A24" s="11" t="n">
        <v>45854</v>
      </c>
      <c r="B24" s="18" t="n">
        <f aca="false">YEAR(A24)</f>
        <v>2025</v>
      </c>
      <c r="C24" s="5" t="s">
        <v>84</v>
      </c>
      <c r="D24" s="12" t="n">
        <v>7350</v>
      </c>
      <c r="E24" s="19" t="s">
        <v>83</v>
      </c>
      <c r="F24" s="12" t="n">
        <f aca="false">IF(E24="A comprovar",ROUND(D24*Taxas!$B$7,2),0)</f>
        <v>1102.5</v>
      </c>
      <c r="G24" s="12" t="n">
        <f aca="false">IF(E24="A comprovar",ROUND(D24*Taxas!$B$8,2),0)</f>
        <v>1837.5</v>
      </c>
      <c r="H24" s="20" t="n">
        <f aca="false">IF(F24&gt;0,SUMIFS(Taxas!$B$22:$B$110,Taxas!$A$22:$A$110,"&gt;="&amp;DATE(YEAR(A24),MONTH(A24)+1,1),Taxas!$A$22:$A$110,"&lt;="&amp;DATE(YEAR(Resumo!$C$4),MONTH(Resumo!$C$4)-1,1))+Taxas!$B$6,0)</f>
        <v>0.1246</v>
      </c>
      <c r="I24" s="20" t="n">
        <f aca="false">IF(F24&gt;0,MIN(Taxas!$B$5,Taxas!$B$4*MAX(0,Resumo!$C$4-A24)),0)</f>
        <v>0.2</v>
      </c>
      <c r="J24" s="12" t="n">
        <f aca="false">ROUND(F24*(1+H24+I24),2)</f>
        <v>1460.37</v>
      </c>
      <c r="K24" s="12" t="n">
        <f aca="false">ROUND(G24*(1+H24+I24),2)</f>
        <v>2433.95</v>
      </c>
    </row>
    <row r="25" customFormat="false" ht="15" hidden="false" customHeight="false" outlineLevel="0" collapsed="false">
      <c r="A25" s="11" t="n">
        <v>45855</v>
      </c>
      <c r="B25" s="18" t="n">
        <f aca="false">YEAR(A25)</f>
        <v>2025</v>
      </c>
      <c r="C25" s="5" t="s">
        <v>84</v>
      </c>
      <c r="D25" s="12" t="n">
        <v>20000</v>
      </c>
      <c r="E25" s="19" t="s">
        <v>83</v>
      </c>
      <c r="F25" s="12" t="n">
        <f aca="false">IF(E25="A comprovar",ROUND(D25*Taxas!$B$7,2),0)</f>
        <v>3000</v>
      </c>
      <c r="G25" s="12" t="n">
        <f aca="false">IF(E25="A comprovar",ROUND(D25*Taxas!$B$8,2),0)</f>
        <v>5000</v>
      </c>
      <c r="H25" s="20" t="n">
        <f aca="false">IF(F25&gt;0,SUMIFS(Taxas!$B$22:$B$110,Taxas!$A$22:$A$110,"&gt;="&amp;DATE(YEAR(A25),MONTH(A25)+1,1),Taxas!$A$22:$A$110,"&lt;="&amp;DATE(YEAR(Resumo!$C$4),MONTH(Resumo!$C$4)-1,1))+Taxas!$B$6,0)</f>
        <v>0.1246</v>
      </c>
      <c r="I25" s="20" t="n">
        <f aca="false">IF(F25&gt;0,MIN(Taxas!$B$5,Taxas!$B$4*MAX(0,Resumo!$C$4-A25)),0)</f>
        <v>0.2</v>
      </c>
      <c r="J25" s="12" t="n">
        <f aca="false">ROUND(F25*(1+H25+I25),2)</f>
        <v>3973.8</v>
      </c>
      <c r="K25" s="12" t="n">
        <f aca="false">ROUND(G25*(1+H25+I25),2)</f>
        <v>6623</v>
      </c>
    </row>
    <row r="26" customFormat="false" ht="15" hidden="false" customHeight="false" outlineLevel="0" collapsed="false">
      <c r="A26" s="11" t="n">
        <v>45858</v>
      </c>
      <c r="B26" s="18" t="n">
        <f aca="false">YEAR(A26)</f>
        <v>2025</v>
      </c>
      <c r="C26" s="5" t="s">
        <v>84</v>
      </c>
      <c r="D26" s="12" t="n">
        <v>5000</v>
      </c>
      <c r="E26" s="19" t="s">
        <v>83</v>
      </c>
      <c r="F26" s="12" t="n">
        <f aca="false">IF(E26="A comprovar",ROUND(D26*Taxas!$B$7,2),0)</f>
        <v>750</v>
      </c>
      <c r="G26" s="12" t="n">
        <f aca="false">IF(E26="A comprovar",ROUND(D26*Taxas!$B$8,2),0)</f>
        <v>1250</v>
      </c>
      <c r="H26" s="20" t="n">
        <f aca="false">IF(F26&gt;0,SUMIFS(Taxas!$B$22:$B$110,Taxas!$A$22:$A$110,"&gt;="&amp;DATE(YEAR(A26),MONTH(A26)+1,1),Taxas!$A$22:$A$110,"&lt;="&amp;DATE(YEAR(Resumo!$C$4),MONTH(Resumo!$C$4)-1,1))+Taxas!$B$6,0)</f>
        <v>0.1246</v>
      </c>
      <c r="I26" s="20" t="n">
        <f aca="false">IF(F26&gt;0,MIN(Taxas!$B$5,Taxas!$B$4*MAX(0,Resumo!$C$4-A26)),0)</f>
        <v>0.2</v>
      </c>
      <c r="J26" s="12" t="n">
        <f aca="false">ROUND(F26*(1+H26+I26),2)</f>
        <v>993.45</v>
      </c>
      <c r="K26" s="12" t="n">
        <f aca="false">ROUND(G26*(1+H26+I26),2)</f>
        <v>1655.75</v>
      </c>
    </row>
    <row r="27" customFormat="false" ht="15" hidden="false" customHeight="false" outlineLevel="0" collapsed="false">
      <c r="A27" s="11" t="n">
        <v>45858</v>
      </c>
      <c r="B27" s="18" t="n">
        <f aca="false">YEAR(A27)</f>
        <v>2025</v>
      </c>
      <c r="C27" s="5" t="s">
        <v>84</v>
      </c>
      <c r="D27" s="12" t="n">
        <v>2350</v>
      </c>
      <c r="E27" s="19" t="s">
        <v>83</v>
      </c>
      <c r="F27" s="12" t="n">
        <f aca="false">IF(E27="A comprovar",ROUND(D27*Taxas!$B$7,2),0)</f>
        <v>352.5</v>
      </c>
      <c r="G27" s="12" t="n">
        <f aca="false">IF(E27="A comprovar",ROUND(D27*Taxas!$B$8,2),0)</f>
        <v>587.5</v>
      </c>
      <c r="H27" s="20" t="n">
        <f aca="false">IF(F27&gt;0,SUMIFS(Taxas!$B$22:$B$110,Taxas!$A$22:$A$110,"&gt;="&amp;DATE(YEAR(A27),MONTH(A27)+1,1),Taxas!$A$22:$A$110,"&lt;="&amp;DATE(YEAR(Resumo!$C$4),MONTH(Resumo!$C$4)-1,1))+Taxas!$B$6,0)</f>
        <v>0.1246</v>
      </c>
      <c r="I27" s="20" t="n">
        <f aca="false">IF(F27&gt;0,MIN(Taxas!$B$5,Taxas!$B$4*MAX(0,Resumo!$C$4-A27)),0)</f>
        <v>0.2</v>
      </c>
      <c r="J27" s="12" t="n">
        <f aca="false">ROUND(F27*(1+H27+I27),2)</f>
        <v>466.92</v>
      </c>
      <c r="K27" s="12" t="n">
        <f aca="false">ROUND(G27*(1+H27+I27),2)</f>
        <v>778.2</v>
      </c>
    </row>
    <row r="28" customFormat="false" ht="15" hidden="false" customHeight="false" outlineLevel="0" collapsed="false">
      <c r="A28" s="11" t="n">
        <v>45867</v>
      </c>
      <c r="B28" s="18" t="n">
        <f aca="false">YEAR(A28)</f>
        <v>2025</v>
      </c>
      <c r="C28" s="5" t="s">
        <v>90</v>
      </c>
      <c r="D28" s="12" t="n">
        <v>49000</v>
      </c>
      <c r="E28" s="19" t="s">
        <v>83</v>
      </c>
      <c r="F28" s="12" t="n">
        <f aca="false">IF(E28="A comprovar",ROUND(D28*Taxas!$B$7,2),0)</f>
        <v>7350</v>
      </c>
      <c r="G28" s="12" t="n">
        <f aca="false">IF(E28="A comprovar",ROUND(D28*Taxas!$B$8,2),0)</f>
        <v>12250</v>
      </c>
      <c r="H28" s="20" t="n">
        <f aca="false">IF(F28&gt;0,SUMIFS(Taxas!$B$22:$B$110,Taxas!$A$22:$A$110,"&gt;="&amp;DATE(YEAR(A28),MONTH(A28)+1,1),Taxas!$A$22:$A$110,"&lt;="&amp;DATE(YEAR(Resumo!$C$4),MONTH(Resumo!$C$4)-1,1))+Taxas!$B$6,0)</f>
        <v>0.1246</v>
      </c>
      <c r="I28" s="20" t="n">
        <f aca="false">IF(F28&gt;0,MIN(Taxas!$B$5,Taxas!$B$4*MAX(0,Resumo!$C$4-A28)),0)</f>
        <v>0.2</v>
      </c>
      <c r="J28" s="12" t="n">
        <f aca="false">ROUND(F28*(1+H28+I28),2)</f>
        <v>9735.81</v>
      </c>
      <c r="K28" s="12" t="n">
        <f aca="false">ROUND(G28*(1+H28+I28),2)</f>
        <v>16226.35</v>
      </c>
    </row>
    <row r="29" customFormat="false" ht="15" hidden="false" customHeight="false" outlineLevel="0" collapsed="false">
      <c r="A29" s="11" t="n">
        <v>45868</v>
      </c>
      <c r="B29" s="18" t="n">
        <f aca="false">YEAR(A29)</f>
        <v>2025</v>
      </c>
      <c r="C29" s="5" t="s">
        <v>91</v>
      </c>
      <c r="D29" s="12" t="n">
        <v>51000</v>
      </c>
      <c r="E29" s="19" t="s">
        <v>83</v>
      </c>
      <c r="F29" s="12" t="n">
        <f aca="false">IF(E29="A comprovar",ROUND(D29*Taxas!$B$7,2),0)</f>
        <v>7650</v>
      </c>
      <c r="G29" s="12" t="n">
        <f aca="false">IF(E29="A comprovar",ROUND(D29*Taxas!$B$8,2),0)</f>
        <v>12750</v>
      </c>
      <c r="H29" s="20" t="n">
        <f aca="false">IF(F29&gt;0,SUMIFS(Taxas!$B$22:$B$110,Taxas!$A$22:$A$110,"&gt;="&amp;DATE(YEAR(A29),MONTH(A29)+1,1),Taxas!$A$22:$A$110,"&lt;="&amp;DATE(YEAR(Resumo!$C$4),MONTH(Resumo!$C$4)-1,1))+Taxas!$B$6,0)</f>
        <v>0.1246</v>
      </c>
      <c r="I29" s="20" t="n">
        <f aca="false">IF(F29&gt;0,MIN(Taxas!$B$5,Taxas!$B$4*MAX(0,Resumo!$C$4-A29)),0)</f>
        <v>0.2</v>
      </c>
      <c r="J29" s="12" t="n">
        <f aca="false">ROUND(F29*(1+H29+I29),2)</f>
        <v>10133.19</v>
      </c>
      <c r="K29" s="12" t="n">
        <f aca="false">ROUND(G29*(1+H29+I29),2)</f>
        <v>16888.65</v>
      </c>
    </row>
    <row r="30" customFormat="false" ht="15" hidden="false" customHeight="false" outlineLevel="0" collapsed="false">
      <c r="A30" s="11" t="n">
        <v>45873</v>
      </c>
      <c r="B30" s="18" t="n">
        <f aca="false">YEAR(A30)</f>
        <v>2025</v>
      </c>
      <c r="C30" s="5" t="s">
        <v>90</v>
      </c>
      <c r="D30" s="12" t="n">
        <v>20000</v>
      </c>
      <c r="E30" s="19" t="s">
        <v>83</v>
      </c>
      <c r="F30" s="12" t="n">
        <f aca="false">IF(E30="A comprovar",ROUND(D30*Taxas!$B$7,2),0)</f>
        <v>3000</v>
      </c>
      <c r="G30" s="12" t="n">
        <f aca="false">IF(E30="A comprovar",ROUND(D30*Taxas!$B$8,2),0)</f>
        <v>5000</v>
      </c>
      <c r="H30" s="20" t="n">
        <f aca="false">IF(F30&gt;0,SUMIFS(Taxas!$B$22:$B$110,Taxas!$A$22:$A$110,"&gt;="&amp;DATE(YEAR(A30),MONTH(A30)+1,1),Taxas!$A$22:$A$110,"&lt;="&amp;DATE(YEAR(Resumo!$C$4),MONTH(Resumo!$C$4)-1,1))+Taxas!$B$6,0)</f>
        <v>0.113</v>
      </c>
      <c r="I30" s="20" t="n">
        <f aca="false">IF(F30&gt;0,MIN(Taxas!$B$5,Taxas!$B$4*MAX(0,Resumo!$C$4-A30)),0)</f>
        <v>0.2</v>
      </c>
      <c r="J30" s="12" t="n">
        <f aca="false">ROUND(F30*(1+H30+I30),2)</f>
        <v>3939</v>
      </c>
      <c r="K30" s="12" t="n">
        <f aca="false">ROUND(G30*(1+H30+I30),2)</f>
        <v>6565</v>
      </c>
    </row>
    <row r="31" customFormat="false" ht="15" hidden="false" customHeight="false" outlineLevel="0" collapsed="false">
      <c r="A31" s="11" t="n">
        <v>45874</v>
      </c>
      <c r="B31" s="18" t="n">
        <f aca="false">YEAR(A31)</f>
        <v>2025</v>
      </c>
      <c r="C31" s="5" t="s">
        <v>92</v>
      </c>
      <c r="D31" s="12" t="n">
        <v>34000</v>
      </c>
      <c r="E31" s="19" t="s">
        <v>83</v>
      </c>
      <c r="F31" s="12" t="n">
        <f aca="false">IF(E31="A comprovar",ROUND(D31*Taxas!$B$7,2),0)</f>
        <v>5100</v>
      </c>
      <c r="G31" s="12" t="n">
        <f aca="false">IF(E31="A comprovar",ROUND(D31*Taxas!$B$8,2),0)</f>
        <v>8500</v>
      </c>
      <c r="H31" s="20" t="n">
        <f aca="false">IF(F31&gt;0,SUMIFS(Taxas!$B$22:$B$110,Taxas!$A$22:$A$110,"&gt;="&amp;DATE(YEAR(A31),MONTH(A31)+1,1),Taxas!$A$22:$A$110,"&lt;="&amp;DATE(YEAR(Resumo!$C$4),MONTH(Resumo!$C$4)-1,1))+Taxas!$B$6,0)</f>
        <v>0.113</v>
      </c>
      <c r="I31" s="20" t="n">
        <f aca="false">IF(F31&gt;0,MIN(Taxas!$B$5,Taxas!$B$4*MAX(0,Resumo!$C$4-A31)),0)</f>
        <v>0.2</v>
      </c>
      <c r="J31" s="12" t="n">
        <f aca="false">ROUND(F31*(1+H31+I31),2)</f>
        <v>6696.3</v>
      </c>
      <c r="K31" s="12" t="n">
        <f aca="false">ROUND(G31*(1+H31+I31),2)</f>
        <v>11160.5</v>
      </c>
    </row>
    <row r="32" customFormat="false" ht="15" hidden="false" customHeight="false" outlineLevel="0" collapsed="false">
      <c r="A32" s="11" t="n">
        <v>45874</v>
      </c>
      <c r="B32" s="18" t="n">
        <f aca="false">YEAR(A32)</f>
        <v>2025</v>
      </c>
      <c r="C32" s="5" t="s">
        <v>92</v>
      </c>
      <c r="D32" s="12" t="n">
        <v>10000</v>
      </c>
      <c r="E32" s="19" t="s">
        <v>83</v>
      </c>
      <c r="F32" s="12" t="n">
        <f aca="false">IF(E32="A comprovar",ROUND(D32*Taxas!$B$7,2),0)</f>
        <v>1500</v>
      </c>
      <c r="G32" s="12" t="n">
        <f aca="false">IF(E32="A comprovar",ROUND(D32*Taxas!$B$8,2),0)</f>
        <v>2500</v>
      </c>
      <c r="H32" s="20" t="n">
        <f aca="false">IF(F32&gt;0,SUMIFS(Taxas!$B$22:$B$110,Taxas!$A$22:$A$110,"&gt;="&amp;DATE(YEAR(A32),MONTH(A32)+1,1),Taxas!$A$22:$A$110,"&lt;="&amp;DATE(YEAR(Resumo!$C$4),MONTH(Resumo!$C$4)-1,1))+Taxas!$B$6,0)</f>
        <v>0.113</v>
      </c>
      <c r="I32" s="20" t="n">
        <f aca="false">IF(F32&gt;0,MIN(Taxas!$B$5,Taxas!$B$4*MAX(0,Resumo!$C$4-A32)),0)</f>
        <v>0.2</v>
      </c>
      <c r="J32" s="12" t="n">
        <f aca="false">ROUND(F32*(1+H32+I32),2)</f>
        <v>1969.5</v>
      </c>
      <c r="K32" s="12" t="n">
        <f aca="false">ROUND(G32*(1+H32+I32),2)</f>
        <v>3282.5</v>
      </c>
    </row>
    <row r="33" customFormat="false" ht="15" hidden="false" customHeight="false" outlineLevel="0" collapsed="false">
      <c r="A33" s="11" t="n">
        <v>45874</v>
      </c>
      <c r="B33" s="18" t="n">
        <f aca="false">YEAR(A33)</f>
        <v>2025</v>
      </c>
      <c r="C33" s="5" t="s">
        <v>91</v>
      </c>
      <c r="D33" s="12" t="n">
        <v>45000</v>
      </c>
      <c r="E33" s="19" t="s">
        <v>83</v>
      </c>
      <c r="F33" s="12" t="n">
        <f aca="false">IF(E33="A comprovar",ROUND(D33*Taxas!$B$7,2),0)</f>
        <v>6750</v>
      </c>
      <c r="G33" s="12" t="n">
        <f aca="false">IF(E33="A comprovar",ROUND(D33*Taxas!$B$8,2),0)</f>
        <v>11250</v>
      </c>
      <c r="H33" s="20" t="n">
        <f aca="false">IF(F33&gt;0,SUMIFS(Taxas!$B$22:$B$110,Taxas!$A$22:$A$110,"&gt;="&amp;DATE(YEAR(A33),MONTH(A33)+1,1),Taxas!$A$22:$A$110,"&lt;="&amp;DATE(YEAR(Resumo!$C$4),MONTH(Resumo!$C$4)-1,1))+Taxas!$B$6,0)</f>
        <v>0.113</v>
      </c>
      <c r="I33" s="20" t="n">
        <f aca="false">IF(F33&gt;0,MIN(Taxas!$B$5,Taxas!$B$4*MAX(0,Resumo!$C$4-A33)),0)</f>
        <v>0.2</v>
      </c>
      <c r="J33" s="12" t="n">
        <f aca="false">ROUND(F33*(1+H33+I33),2)</f>
        <v>8862.75</v>
      </c>
      <c r="K33" s="12" t="n">
        <f aca="false">ROUND(G33*(1+H33+I33),2)</f>
        <v>14771.25</v>
      </c>
    </row>
    <row r="34" customFormat="false" ht="15" hidden="false" customHeight="false" outlineLevel="0" collapsed="false">
      <c r="A34" s="11" t="n">
        <v>45911</v>
      </c>
      <c r="B34" s="18" t="n">
        <f aca="false">YEAR(A34)</f>
        <v>2025</v>
      </c>
      <c r="C34" s="5" t="s">
        <v>84</v>
      </c>
      <c r="D34" s="12" t="n">
        <v>5210</v>
      </c>
      <c r="E34" s="19" t="s">
        <v>83</v>
      </c>
      <c r="F34" s="12" t="n">
        <f aca="false">IF(E34="A comprovar",ROUND(D34*Taxas!$B$7,2),0)</f>
        <v>781.5</v>
      </c>
      <c r="G34" s="12" t="n">
        <f aca="false">IF(E34="A comprovar",ROUND(D34*Taxas!$B$8,2),0)</f>
        <v>1302.5</v>
      </c>
      <c r="H34" s="20" t="n">
        <f aca="false">IF(F34&gt;0,SUMIFS(Taxas!$B$22:$B$110,Taxas!$A$22:$A$110,"&gt;="&amp;DATE(YEAR(A34),MONTH(A34)+1,1),Taxas!$A$22:$A$110,"&lt;="&amp;DATE(YEAR(Resumo!$C$4),MONTH(Resumo!$C$4)-1,1))+Taxas!$B$6,0)</f>
        <v>0.1008</v>
      </c>
      <c r="I34" s="20" t="n">
        <f aca="false">IF(F34&gt;0,MIN(Taxas!$B$5,Taxas!$B$4*MAX(0,Resumo!$C$4-A34)),0)</f>
        <v>0.2</v>
      </c>
      <c r="J34" s="12" t="n">
        <f aca="false">ROUND(F34*(1+H34+I34),2)</f>
        <v>1016.58</v>
      </c>
      <c r="K34" s="12" t="n">
        <f aca="false">ROUND(G34*(1+H34+I34),2)</f>
        <v>1694.29</v>
      </c>
    </row>
    <row r="35" customFormat="false" ht="15" hidden="false" customHeight="false" outlineLevel="0" collapsed="false">
      <c r="A35" s="11" t="n">
        <v>45917</v>
      </c>
      <c r="B35" s="18" t="n">
        <f aca="false">YEAR(A35)</f>
        <v>2025</v>
      </c>
      <c r="C35" s="5" t="s">
        <v>82</v>
      </c>
      <c r="D35" s="12" t="n">
        <v>500</v>
      </c>
      <c r="E35" s="19" t="s">
        <v>83</v>
      </c>
      <c r="F35" s="12" t="n">
        <f aca="false">IF(E35="A comprovar",ROUND(D35*Taxas!$B$7,2),0)</f>
        <v>75</v>
      </c>
      <c r="G35" s="12" t="n">
        <f aca="false">IF(E35="A comprovar",ROUND(D35*Taxas!$B$8,2),0)</f>
        <v>125</v>
      </c>
      <c r="H35" s="20" t="n">
        <f aca="false">IF(F35&gt;0,SUMIFS(Taxas!$B$22:$B$110,Taxas!$A$22:$A$110,"&gt;="&amp;DATE(YEAR(A35),MONTH(A35)+1,1),Taxas!$A$22:$A$110,"&lt;="&amp;DATE(YEAR(Resumo!$C$4),MONTH(Resumo!$C$4)-1,1))+Taxas!$B$6,0)</f>
        <v>0.1008</v>
      </c>
      <c r="I35" s="20" t="n">
        <f aca="false">IF(F35&gt;0,MIN(Taxas!$B$5,Taxas!$B$4*MAX(0,Resumo!$C$4-A35)),0)</f>
        <v>0.2</v>
      </c>
      <c r="J35" s="12" t="n">
        <f aca="false">ROUND(F35*(1+H35+I35),2)</f>
        <v>97.56</v>
      </c>
      <c r="K35" s="12" t="n">
        <f aca="false">ROUND(G35*(1+H35+I35),2)</f>
        <v>162.6</v>
      </c>
    </row>
    <row r="36" customFormat="false" ht="15" hidden="false" customHeight="false" outlineLevel="0" collapsed="false">
      <c r="A36" s="11" t="n">
        <v>45920</v>
      </c>
      <c r="B36" s="18" t="n">
        <f aca="false">YEAR(A36)</f>
        <v>2025</v>
      </c>
      <c r="C36" s="5" t="s">
        <v>84</v>
      </c>
      <c r="D36" s="12" t="n">
        <v>1500</v>
      </c>
      <c r="E36" s="19" t="s">
        <v>83</v>
      </c>
      <c r="F36" s="12" t="n">
        <f aca="false">IF(E36="A comprovar",ROUND(D36*Taxas!$B$7,2),0)</f>
        <v>225</v>
      </c>
      <c r="G36" s="12" t="n">
        <f aca="false">IF(E36="A comprovar",ROUND(D36*Taxas!$B$8,2),0)</f>
        <v>375</v>
      </c>
      <c r="H36" s="20" t="n">
        <f aca="false">IF(F36&gt;0,SUMIFS(Taxas!$B$22:$B$110,Taxas!$A$22:$A$110,"&gt;="&amp;DATE(YEAR(A36),MONTH(A36)+1,1),Taxas!$A$22:$A$110,"&lt;="&amp;DATE(YEAR(Resumo!$C$4),MONTH(Resumo!$C$4)-1,1))+Taxas!$B$6,0)</f>
        <v>0.1008</v>
      </c>
      <c r="I36" s="20" t="n">
        <f aca="false">IF(F36&gt;0,MIN(Taxas!$B$5,Taxas!$B$4*MAX(0,Resumo!$C$4-A36)),0)</f>
        <v>0.2</v>
      </c>
      <c r="J36" s="12" t="n">
        <f aca="false">ROUND(F36*(1+H36+I36),2)</f>
        <v>292.68</v>
      </c>
      <c r="K36" s="12" t="n">
        <f aca="false">ROUND(G36*(1+H36+I36),2)</f>
        <v>487.8</v>
      </c>
    </row>
    <row r="37" customFormat="false" ht="15" hidden="false" customHeight="false" outlineLevel="0" collapsed="false">
      <c r="A37" s="11" t="n">
        <v>45945</v>
      </c>
      <c r="B37" s="18" t="n">
        <f aca="false">YEAR(A37)</f>
        <v>2025</v>
      </c>
      <c r="C37" s="5" t="s">
        <v>93</v>
      </c>
      <c r="D37" s="12" t="n">
        <v>5000</v>
      </c>
      <c r="E37" s="19" t="s">
        <v>83</v>
      </c>
      <c r="F37" s="12" t="n">
        <f aca="false">IF(E37="A comprovar",ROUND(D37*Taxas!$B$7,2),0)</f>
        <v>750</v>
      </c>
      <c r="G37" s="12" t="n">
        <f aca="false">IF(E37="A comprovar",ROUND(D37*Taxas!$B$8,2),0)</f>
        <v>1250</v>
      </c>
      <c r="H37" s="20" t="n">
        <f aca="false">IF(F37&gt;0,SUMIFS(Taxas!$B$22:$B$110,Taxas!$A$22:$A$110,"&gt;="&amp;DATE(YEAR(A37),MONTH(A37)+1,1),Taxas!$A$22:$A$110,"&lt;="&amp;DATE(YEAR(Resumo!$C$4),MONTH(Resumo!$C$4)-1,1))+Taxas!$B$6,0)</f>
        <v>0.088</v>
      </c>
      <c r="I37" s="20" t="n">
        <f aca="false">IF(F37&gt;0,MIN(Taxas!$B$5,Taxas!$B$4*MAX(0,Resumo!$C$4-A37)),0)</f>
        <v>0.2</v>
      </c>
      <c r="J37" s="12" t="n">
        <f aca="false">ROUND(F37*(1+H37+I37),2)</f>
        <v>966</v>
      </c>
      <c r="K37" s="12" t="n">
        <f aca="false">ROUND(G37*(1+H37+I37),2)</f>
        <v>1610</v>
      </c>
    </row>
    <row r="38" customFormat="false" ht="15" hidden="false" customHeight="false" outlineLevel="0" collapsed="false">
      <c r="A38" s="11" t="n">
        <v>45952</v>
      </c>
      <c r="B38" s="18" t="n">
        <f aca="false">YEAR(A38)</f>
        <v>2025</v>
      </c>
      <c r="C38" s="5" t="s">
        <v>94</v>
      </c>
      <c r="D38" s="12" t="n">
        <v>480</v>
      </c>
      <c r="E38" s="19" t="s">
        <v>83</v>
      </c>
      <c r="F38" s="12" t="n">
        <f aca="false">IF(E38="A comprovar",ROUND(D38*Taxas!$B$7,2),0)</f>
        <v>72</v>
      </c>
      <c r="G38" s="12" t="n">
        <f aca="false">IF(E38="A comprovar",ROUND(D38*Taxas!$B$8,2),0)</f>
        <v>120</v>
      </c>
      <c r="H38" s="20" t="n">
        <f aca="false">IF(F38&gt;0,SUMIFS(Taxas!$B$22:$B$110,Taxas!$A$22:$A$110,"&gt;="&amp;DATE(YEAR(A38),MONTH(A38)+1,1),Taxas!$A$22:$A$110,"&lt;="&amp;DATE(YEAR(Resumo!$C$4),MONTH(Resumo!$C$4)-1,1))+Taxas!$B$6,0)</f>
        <v>0.088</v>
      </c>
      <c r="I38" s="20" t="n">
        <f aca="false">IF(F38&gt;0,MIN(Taxas!$B$5,Taxas!$B$4*MAX(0,Resumo!$C$4-A38)),0)</f>
        <v>0.2</v>
      </c>
      <c r="J38" s="12" t="n">
        <f aca="false">ROUND(F38*(1+H38+I38),2)</f>
        <v>92.74</v>
      </c>
      <c r="K38" s="12" t="n">
        <f aca="false">ROUND(G38*(1+H38+I38),2)</f>
        <v>154.56</v>
      </c>
    </row>
    <row r="39" customFormat="false" ht="15" hidden="false" customHeight="false" outlineLevel="0" collapsed="false">
      <c r="A39" s="11" t="n">
        <v>45971</v>
      </c>
      <c r="B39" s="18" t="n">
        <f aca="false">YEAR(A39)</f>
        <v>2025</v>
      </c>
      <c r="C39" s="5" t="s">
        <v>95</v>
      </c>
      <c r="D39" s="12" t="n">
        <v>25000</v>
      </c>
      <c r="E39" s="19" t="s">
        <v>83</v>
      </c>
      <c r="F39" s="12" t="n">
        <f aca="false">IF(E39="A comprovar",ROUND(D39*Taxas!$B$7,2),0)</f>
        <v>3750</v>
      </c>
      <c r="G39" s="12" t="n">
        <f aca="false">IF(E39="A comprovar",ROUND(D39*Taxas!$B$8,2),0)</f>
        <v>6250</v>
      </c>
      <c r="H39" s="20" t="n">
        <f aca="false">IF(F39&gt;0,SUMIFS(Taxas!$B$22:$B$110,Taxas!$A$22:$A$110,"&gt;="&amp;DATE(YEAR(A39),MONTH(A39)+1,1),Taxas!$A$22:$A$110,"&lt;="&amp;DATE(YEAR(Resumo!$C$4),MONTH(Resumo!$C$4)-1,1))+Taxas!$B$6,0)</f>
        <v>0.0775</v>
      </c>
      <c r="I39" s="20" t="n">
        <f aca="false">IF(F39&gt;0,MIN(Taxas!$B$5,Taxas!$B$4*MAX(0,Resumo!$C$4-A39)),0)</f>
        <v>0.2</v>
      </c>
      <c r="J39" s="12" t="n">
        <f aca="false">ROUND(F39*(1+H39+I39),2)</f>
        <v>4790.63</v>
      </c>
      <c r="K39" s="12" t="n">
        <f aca="false">ROUND(G39*(1+H39+I39),2)</f>
        <v>7984.38</v>
      </c>
    </row>
    <row r="40" customFormat="false" ht="15" hidden="false" customHeight="false" outlineLevel="0" collapsed="false">
      <c r="A40" s="11" t="n">
        <v>45972</v>
      </c>
      <c r="B40" s="18" t="n">
        <f aca="false">YEAR(A40)</f>
        <v>2025</v>
      </c>
      <c r="C40" s="5" t="s">
        <v>95</v>
      </c>
      <c r="D40" s="12" t="n">
        <v>15000</v>
      </c>
      <c r="E40" s="19" t="s">
        <v>83</v>
      </c>
      <c r="F40" s="12" t="n">
        <f aca="false">IF(E40="A comprovar",ROUND(D40*Taxas!$B$7,2),0)</f>
        <v>2250</v>
      </c>
      <c r="G40" s="12" t="n">
        <f aca="false">IF(E40="A comprovar",ROUND(D40*Taxas!$B$8,2),0)</f>
        <v>3750</v>
      </c>
      <c r="H40" s="20" t="n">
        <f aca="false">IF(F40&gt;0,SUMIFS(Taxas!$B$22:$B$110,Taxas!$A$22:$A$110,"&gt;="&amp;DATE(YEAR(A40),MONTH(A40)+1,1),Taxas!$A$22:$A$110,"&lt;="&amp;DATE(YEAR(Resumo!$C$4),MONTH(Resumo!$C$4)-1,1))+Taxas!$B$6,0)</f>
        <v>0.0775</v>
      </c>
      <c r="I40" s="20" t="n">
        <f aca="false">IF(F40&gt;0,MIN(Taxas!$B$5,Taxas!$B$4*MAX(0,Resumo!$C$4-A40)),0)</f>
        <v>0.2</v>
      </c>
      <c r="J40" s="12" t="n">
        <f aca="false">ROUND(F40*(1+H40+I40),2)</f>
        <v>2874.38</v>
      </c>
      <c r="K40" s="12" t="n">
        <f aca="false">ROUND(G40*(1+H40+I40),2)</f>
        <v>4790.63</v>
      </c>
    </row>
    <row r="41" customFormat="false" ht="15" hidden="false" customHeight="false" outlineLevel="0" collapsed="false">
      <c r="A41" s="11" t="n">
        <v>46007</v>
      </c>
      <c r="B41" s="18" t="n">
        <f aca="false">YEAR(A41)</f>
        <v>2025</v>
      </c>
      <c r="C41" s="5" t="s">
        <v>96</v>
      </c>
      <c r="D41" s="12" t="n">
        <v>1500</v>
      </c>
      <c r="E41" s="19" t="s">
        <v>83</v>
      </c>
      <c r="F41" s="12" t="n">
        <f aca="false">IF(E41="A comprovar",ROUND(D41*Taxas!$B$7,2),0)</f>
        <v>225</v>
      </c>
      <c r="G41" s="12" t="n">
        <f aca="false">IF(E41="A comprovar",ROUND(D41*Taxas!$B$8,2),0)</f>
        <v>375</v>
      </c>
      <c r="H41" s="20" t="n">
        <f aca="false">IF(F41&gt;0,SUMIFS(Taxas!$B$22:$B$110,Taxas!$A$22:$A$110,"&gt;="&amp;DATE(YEAR(A41),MONTH(A41)+1,1),Taxas!$A$22:$A$110,"&lt;="&amp;DATE(YEAR(Resumo!$C$4),MONTH(Resumo!$C$4)-1,1))+Taxas!$B$6,0)</f>
        <v>0.0653</v>
      </c>
      <c r="I41" s="20" t="n">
        <f aca="false">IF(F41&gt;0,MIN(Taxas!$B$5,Taxas!$B$4*MAX(0,Resumo!$C$4-A41)),0)</f>
        <v>0.2</v>
      </c>
      <c r="J41" s="12" t="n">
        <f aca="false">ROUND(F41*(1+H41+I41),2)</f>
        <v>284.69</v>
      </c>
      <c r="K41" s="12" t="n">
        <f aca="false">ROUND(G41*(1+H41+I41),2)</f>
        <v>474.49</v>
      </c>
    </row>
    <row r="42" customFormat="false" ht="15" hidden="false" customHeight="false" outlineLevel="0" collapsed="false">
      <c r="A42" s="11" t="n">
        <v>46125</v>
      </c>
      <c r="B42" s="18" t="n">
        <f aca="false">YEAR(A42)</f>
        <v>2026</v>
      </c>
      <c r="C42" s="5" t="s">
        <v>82</v>
      </c>
      <c r="D42" s="12" t="n">
        <v>8000</v>
      </c>
      <c r="E42" s="19" t="s">
        <v>83</v>
      </c>
      <c r="F42" s="12" t="n">
        <f aca="false">IF(E42="A comprovar",ROUND(D42*Taxas!$B$7,2),0)</f>
        <v>1200</v>
      </c>
      <c r="G42" s="12" t="n">
        <f aca="false">IF(E42="A comprovar",ROUND(D42*Taxas!$B$8,2),0)</f>
        <v>2000</v>
      </c>
      <c r="H42" s="20" t="n">
        <f aca="false">IF(F42&gt;0,SUMIFS(Taxas!$B$22:$B$110,Taxas!$A$22:$A$110,"&gt;="&amp;DATE(YEAR(A42),MONTH(A42)+1,1),Taxas!$A$22:$A$110,"&lt;="&amp;DATE(YEAR(Resumo!$C$4),MONTH(Resumo!$C$4)-1,1))+Taxas!$B$6,0)</f>
        <v>0.0207</v>
      </c>
      <c r="I42" s="20" t="n">
        <f aca="false">IF(F42&gt;0,MIN(Taxas!$B$5,Taxas!$B$4*MAX(0,Resumo!$C$4-A42)),0)</f>
        <v>0.2</v>
      </c>
      <c r="J42" s="12" t="n">
        <f aca="false">ROUND(F42*(1+H42+I42),2)</f>
        <v>1464.84</v>
      </c>
      <c r="K42" s="12" t="n">
        <f aca="false">ROUND(G42*(1+H42+I42),2)</f>
        <v>2441.4</v>
      </c>
    </row>
    <row r="43" customFormat="false" ht="15" hidden="false" customHeight="false" outlineLevel="0" collapsed="false">
      <c r="A43" s="13" t="s">
        <v>34</v>
      </c>
      <c r="B43" s="13"/>
      <c r="C43" s="13"/>
      <c r="D43" s="6" t="n">
        <f aca="false">SUM(D5:D42)</f>
        <v>623510</v>
      </c>
      <c r="E43" s="13"/>
      <c r="F43" s="6" t="n">
        <f aca="false">SUM(F5:F42)</f>
        <v>93526.5</v>
      </c>
      <c r="G43" s="6" t="n">
        <f aca="false">SUM(G5:G42)</f>
        <v>155877.5</v>
      </c>
      <c r="H43" s="13"/>
      <c r="I43" s="13"/>
      <c r="J43" s="6" t="n">
        <f aca="false">SUM(J5:J42)</f>
        <v>125912.78</v>
      </c>
      <c r="K43" s="6" t="n">
        <f aca="false">SUM(K5:K42)</f>
        <v>209854.59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3" customFormat="false" ht="42" hidden="false" customHeight="true" outlineLevel="0" collapsed="false">
      <c r="A3" s="8" t="s">
        <v>99</v>
      </c>
      <c r="B3" s="8" t="s">
        <v>100</v>
      </c>
      <c r="C3" s="8" t="s">
        <v>101</v>
      </c>
      <c r="D3" s="8" t="s">
        <v>102</v>
      </c>
    </row>
    <row r="4" customFormat="false" ht="15" hidden="false" customHeight="false" outlineLevel="0" collapsed="false">
      <c r="A4" s="5" t="s">
        <v>103</v>
      </c>
      <c r="B4" s="5" t="s">
        <v>104</v>
      </c>
      <c r="C4" s="5" t="s">
        <v>104</v>
      </c>
      <c r="D4" s="5"/>
    </row>
    <row r="5" customFormat="false" ht="15" hidden="false" customHeight="false" outlineLevel="0" collapsed="false">
      <c r="A5" s="5" t="s">
        <v>105</v>
      </c>
      <c r="B5" s="5" t="s">
        <v>106</v>
      </c>
      <c r="C5" s="5" t="s">
        <v>107</v>
      </c>
      <c r="D5" s="5"/>
    </row>
    <row r="6" customFormat="false" ht="15" hidden="false" customHeight="false" outlineLevel="0" collapsed="false">
      <c r="A6" s="5" t="s">
        <v>108</v>
      </c>
      <c r="B6" s="5" t="s">
        <v>109</v>
      </c>
      <c r="C6" s="5" t="s">
        <v>110</v>
      </c>
      <c r="D6" s="5"/>
    </row>
    <row r="7" customFormat="false" ht="23.85" hidden="false" customHeight="false" outlineLevel="0" collapsed="false">
      <c r="A7" s="5" t="s">
        <v>19</v>
      </c>
      <c r="B7" s="10" t="s">
        <v>111</v>
      </c>
      <c r="C7" s="5"/>
      <c r="D7" s="5"/>
    </row>
    <row r="8" customFormat="false" ht="15" hidden="false" customHeight="false" outlineLevel="0" collapsed="false">
      <c r="A8" s="5" t="s">
        <v>112</v>
      </c>
      <c r="B8" s="15" t="n">
        <v>370000</v>
      </c>
      <c r="C8" s="15" t="n">
        <v>1250265</v>
      </c>
      <c r="D8" s="6" t="n">
        <f aca="false">B8+C8</f>
        <v>1620265</v>
      </c>
    </row>
    <row r="9" customFormat="false" ht="15" hidden="false" customHeight="false" outlineLevel="0" collapsed="false">
      <c r="A9" s="5" t="s">
        <v>113</v>
      </c>
      <c r="B9" s="15" t="n">
        <v>370000</v>
      </c>
      <c r="C9" s="15" t="n">
        <v>193415</v>
      </c>
      <c r="D9" s="6" t="n">
        <f aca="false">B9+C9</f>
        <v>563415</v>
      </c>
    </row>
    <row r="10" customFormat="false" ht="15" hidden="false" customHeight="false" outlineLevel="0" collapsed="false">
      <c r="A10" s="5" t="s">
        <v>114</v>
      </c>
      <c r="B10" s="15" t="n">
        <v>295000</v>
      </c>
      <c r="C10" s="15" t="n">
        <v>49200</v>
      </c>
      <c r="D10" s="6" t="n">
        <f aca="false">B10+C10</f>
        <v>344200</v>
      </c>
    </row>
    <row r="11" customFormat="false" ht="15" hidden="false" customHeight="false" outlineLevel="0" collapsed="false">
      <c r="A11" s="3" t="s">
        <v>115</v>
      </c>
      <c r="B11" s="21" t="n">
        <f aca="false">B9-B10</f>
        <v>75000</v>
      </c>
      <c r="C11" s="21" t="n">
        <f aca="false">C9-C10</f>
        <v>144215</v>
      </c>
      <c r="D11" s="6" t="n">
        <f aca="false">B11+C11</f>
        <v>219215</v>
      </c>
    </row>
    <row r="12" customFormat="false" ht="15" hidden="false" customHeight="false" outlineLevel="0" collapsed="false">
      <c r="A12" s="5" t="s">
        <v>116</v>
      </c>
      <c r="B12" s="15" t="n">
        <v>0</v>
      </c>
      <c r="C12" s="15" t="n">
        <v>1056850</v>
      </c>
      <c r="D12" s="6" t="n">
        <f aca="false">B12+C12</f>
        <v>1056850</v>
      </c>
    </row>
    <row r="14" customFormat="false" ht="15" hidden="false" customHeight="false" outlineLevel="0" collapsed="false">
      <c r="A14" s="7" t="s">
        <v>117</v>
      </c>
    </row>
    <row r="15" customFormat="false" ht="42" hidden="false" customHeight="true" outlineLevel="0" collapsed="false">
      <c r="A15" s="8" t="s">
        <v>118</v>
      </c>
      <c r="B15" s="8" t="s">
        <v>75</v>
      </c>
      <c r="C15" s="8" t="s">
        <v>119</v>
      </c>
      <c r="D15" s="8"/>
    </row>
    <row r="16" customFormat="false" ht="15" hidden="false" customHeight="false" outlineLevel="0" collapsed="false">
      <c r="A16" s="5" t="s">
        <v>120</v>
      </c>
      <c r="B16" s="15" t="n">
        <v>133096.7</v>
      </c>
      <c r="C16" s="22" t="n">
        <v>14</v>
      </c>
    </row>
    <row r="17" customFormat="false" ht="15" hidden="false" customHeight="false" outlineLevel="0" collapsed="false">
      <c r="A17" s="5" t="s">
        <v>121</v>
      </c>
      <c r="B17" s="15" t="n">
        <v>568060</v>
      </c>
      <c r="C17" s="22" t="n">
        <v>28</v>
      </c>
    </row>
    <row r="18" customFormat="false" ht="15" hidden="false" customHeight="false" outlineLevel="0" collapsed="false">
      <c r="A18" s="5" t="s">
        <v>122</v>
      </c>
      <c r="B18" s="15" t="n">
        <v>85000</v>
      </c>
      <c r="C18" s="22" t="n">
        <v>2</v>
      </c>
    </row>
    <row r="19" customFormat="false" ht="15" hidden="false" customHeight="false" outlineLevel="0" collapsed="false">
      <c r="A19" s="5" t="s">
        <v>123</v>
      </c>
      <c r="B19" s="15" t="n">
        <v>89277.35</v>
      </c>
      <c r="C19" s="22" t="n">
        <v>14</v>
      </c>
    </row>
    <row r="20" customFormat="false" ht="15" hidden="false" customHeight="false" outlineLevel="0" collapsed="false">
      <c r="A20" s="5" t="s">
        <v>124</v>
      </c>
      <c r="B20" s="15" t="n">
        <v>900</v>
      </c>
      <c r="C20" s="22" t="n">
        <v>1</v>
      </c>
    </row>
    <row r="21" customFormat="false" ht="15" hidden="false" customHeight="false" outlineLevel="0" collapsed="false">
      <c r="A21" s="13" t="s">
        <v>125</v>
      </c>
      <c r="B21" s="6" t="n">
        <f aca="false">SUM(B16:B20)</f>
        <v>876334.05</v>
      </c>
      <c r="C21" s="23" t="n">
        <f aca="false">SUM(C16:C20)</f>
        <v>59</v>
      </c>
    </row>
    <row r="23" customFormat="false" ht="15" hidden="false" customHeight="false" outlineLevel="0" collapsed="false">
      <c r="A23" s="7" t="s">
        <v>126</v>
      </c>
    </row>
    <row r="24" customFormat="false" ht="42" hidden="false" customHeight="true" outlineLevel="0" collapsed="false">
      <c r="A24" s="8" t="s">
        <v>127</v>
      </c>
      <c r="B24" s="8" t="s">
        <v>128</v>
      </c>
      <c r="C24" s="8" t="s">
        <v>129</v>
      </c>
      <c r="D24" s="8" t="s">
        <v>130</v>
      </c>
    </row>
    <row r="25" customFormat="false" ht="15" hidden="false" customHeight="false" outlineLevel="0" collapsed="false">
      <c r="A25" s="10" t="s">
        <v>131</v>
      </c>
      <c r="B25" s="10" t="s">
        <v>132</v>
      </c>
      <c r="C25" s="10" t="s">
        <v>133</v>
      </c>
      <c r="D25" s="10" t="s">
        <v>134</v>
      </c>
    </row>
    <row r="26" customFormat="false" ht="15" hidden="false" customHeight="false" outlineLevel="0" collapsed="false">
      <c r="A26" s="10" t="s">
        <v>135</v>
      </c>
      <c r="B26" s="10" t="s">
        <v>136</v>
      </c>
      <c r="C26" s="10" t="s">
        <v>137</v>
      </c>
      <c r="D26" s="10" t="s">
        <v>138</v>
      </c>
    </row>
    <row r="27" customFormat="false" ht="15" hidden="false" customHeight="false" outlineLevel="0" collapsed="false">
      <c r="A27" s="10" t="s">
        <v>139</v>
      </c>
      <c r="B27" s="10" t="s">
        <v>136</v>
      </c>
      <c r="C27" s="10" t="s">
        <v>140</v>
      </c>
      <c r="D27" s="10" t="s">
        <v>138</v>
      </c>
    </row>
    <row r="28" customFormat="false" ht="15" hidden="false" customHeight="false" outlineLevel="0" collapsed="false">
      <c r="A28" s="10" t="s">
        <v>141</v>
      </c>
      <c r="B28" s="10" t="s">
        <v>136</v>
      </c>
      <c r="C28" s="10" t="s">
        <v>142</v>
      </c>
      <c r="D28" s="10" t="s">
        <v>143</v>
      </c>
    </row>
    <row r="29" customFormat="false" ht="15" hidden="false" customHeight="false" outlineLevel="0" collapsed="false">
      <c r="A29" s="10" t="s">
        <v>144</v>
      </c>
      <c r="B29" s="10" t="s">
        <v>136</v>
      </c>
      <c r="C29" s="10" t="s">
        <v>145</v>
      </c>
      <c r="D29" s="10" t="s">
        <v>146</v>
      </c>
    </row>
    <row r="30" customFormat="false" ht="15" hidden="false" customHeight="false" outlineLevel="0" collapsed="false">
      <c r="A30" s="10" t="s">
        <v>147</v>
      </c>
      <c r="B30" s="10" t="s">
        <v>148</v>
      </c>
      <c r="C30" s="10" t="s">
        <v>149</v>
      </c>
      <c r="D30" s="10" t="s">
        <v>146</v>
      </c>
    </row>
    <row r="31" customFormat="false" ht="15" hidden="false" customHeight="false" outlineLevel="0" collapsed="false">
      <c r="A31" s="10" t="s">
        <v>150</v>
      </c>
      <c r="B31" s="10" t="s">
        <v>148</v>
      </c>
      <c r="C31" s="10" t="s">
        <v>151</v>
      </c>
      <c r="D31" s="10" t="s">
        <v>146</v>
      </c>
    </row>
    <row r="32" customFormat="false" ht="15" hidden="false" customHeight="false" outlineLevel="0" collapsed="false">
      <c r="A32" s="10" t="s">
        <v>152</v>
      </c>
      <c r="B32" s="10" t="s">
        <v>148</v>
      </c>
      <c r="C32" s="10" t="s">
        <v>153</v>
      </c>
      <c r="D32" s="10" t="s">
        <v>146</v>
      </c>
    </row>
    <row r="33" customFormat="false" ht="15" hidden="false" customHeight="false" outlineLevel="0" collapsed="false">
      <c r="A33" s="10" t="s">
        <v>154</v>
      </c>
      <c r="B33" s="10" t="s">
        <v>148</v>
      </c>
      <c r="C33" s="10" t="s">
        <v>155</v>
      </c>
      <c r="D33" s="10" t="s">
        <v>68</v>
      </c>
    </row>
    <row r="34" customFormat="false" ht="15" hidden="false" customHeight="false" outlineLevel="0" collapsed="false">
      <c r="A34" s="10" t="s">
        <v>156</v>
      </c>
      <c r="B34" s="10" t="s">
        <v>148</v>
      </c>
      <c r="C34" s="10" t="s">
        <v>157</v>
      </c>
      <c r="D34" s="10" t="s">
        <v>158</v>
      </c>
    </row>
    <row r="35" customFormat="false" ht="15" hidden="false" customHeight="false" outlineLevel="0" collapsed="false">
      <c r="A35" s="10" t="s">
        <v>159</v>
      </c>
      <c r="B35" s="10" t="s">
        <v>148</v>
      </c>
      <c r="C35" s="10" t="s">
        <v>160</v>
      </c>
      <c r="D35" s="10" t="s">
        <v>146</v>
      </c>
    </row>
    <row r="36" customFormat="false" ht="15" hidden="false" customHeight="false" outlineLevel="0" collapsed="false">
      <c r="A36" s="10" t="s">
        <v>161</v>
      </c>
      <c r="B36" s="10" t="s">
        <v>162</v>
      </c>
      <c r="C36" s="10" t="s">
        <v>163</v>
      </c>
      <c r="D36" s="1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3" customFormat="false" ht="42" hidden="false" customHeight="true" outlineLevel="0" collapsed="false">
      <c r="A3" s="8" t="s">
        <v>166</v>
      </c>
      <c r="B3" s="8" t="s">
        <v>167</v>
      </c>
      <c r="C3" s="8" t="s">
        <v>19</v>
      </c>
    </row>
    <row r="4" customFormat="false" ht="15" hidden="false" customHeight="false" outlineLevel="0" collapsed="false">
      <c r="A4" s="5" t="s">
        <v>168</v>
      </c>
      <c r="B4" s="24" t="n">
        <v>0.0033</v>
      </c>
      <c r="C4" s="5" t="s">
        <v>169</v>
      </c>
    </row>
    <row r="5" customFormat="false" ht="15" hidden="false" customHeight="false" outlineLevel="0" collapsed="false">
      <c r="A5" s="5" t="s">
        <v>170</v>
      </c>
      <c r="B5" s="24" t="n">
        <v>0.2</v>
      </c>
      <c r="C5" s="5" t="s">
        <v>171</v>
      </c>
    </row>
    <row r="6" customFormat="false" ht="15" hidden="false" customHeight="false" outlineLevel="0" collapsed="false">
      <c r="A6" s="5" t="s">
        <v>172</v>
      </c>
      <c r="B6" s="24" t="n">
        <v>0.01</v>
      </c>
      <c r="C6" s="5" t="s">
        <v>173</v>
      </c>
    </row>
    <row r="7" customFormat="false" ht="15" hidden="false" customHeight="false" outlineLevel="0" collapsed="false">
      <c r="A7" s="5" t="s">
        <v>174</v>
      </c>
      <c r="B7" s="24" t="n">
        <v>0.15</v>
      </c>
      <c r="C7" s="5" t="s">
        <v>175</v>
      </c>
    </row>
    <row r="8" customFormat="false" ht="15" hidden="false" customHeight="false" outlineLevel="0" collapsed="false">
      <c r="A8" s="5" t="s">
        <v>176</v>
      </c>
      <c r="B8" s="24" t="n">
        <v>0.25</v>
      </c>
      <c r="C8" s="5" t="s">
        <v>177</v>
      </c>
    </row>
    <row r="9" customFormat="false" ht="15" hidden="false" customHeight="false" outlineLevel="0" collapsed="false">
      <c r="A9" s="5" t="s">
        <v>178</v>
      </c>
      <c r="B9" s="24" t="n">
        <v>0.2</v>
      </c>
      <c r="C9" s="5" t="s">
        <v>179</v>
      </c>
    </row>
    <row r="10" customFormat="false" ht="15" hidden="false" customHeight="false" outlineLevel="0" collapsed="false">
      <c r="A10" s="5" t="s">
        <v>180</v>
      </c>
      <c r="B10" s="15" t="n">
        <v>16754.34</v>
      </c>
      <c r="C10" s="5" t="s">
        <v>181</v>
      </c>
    </row>
    <row r="12" customFormat="false" ht="15" hidden="false" customHeight="false" outlineLevel="0" collapsed="false">
      <c r="A12" s="7" t="s">
        <v>182</v>
      </c>
    </row>
    <row r="13" customFormat="false" ht="42" hidden="false" customHeight="true" outlineLevel="0" collapsed="false">
      <c r="A13" s="8" t="s">
        <v>183</v>
      </c>
      <c r="B13" s="8" t="s">
        <v>184</v>
      </c>
      <c r="C13" s="8" t="s">
        <v>185</v>
      </c>
    </row>
    <row r="14" customFormat="false" ht="15" hidden="false" customHeight="false" outlineLevel="0" collapsed="false">
      <c r="A14" s="15" t="n">
        <v>0</v>
      </c>
      <c r="B14" s="24" t="n">
        <v>0</v>
      </c>
      <c r="C14" s="15" t="n">
        <v>0</v>
      </c>
    </row>
    <row r="15" customFormat="false" ht="15" hidden="false" customHeight="false" outlineLevel="0" collapsed="false">
      <c r="A15" s="15" t="n">
        <v>22847.77</v>
      </c>
      <c r="B15" s="24" t="n">
        <v>0.075</v>
      </c>
      <c r="C15" s="15" t="n">
        <v>1713.58</v>
      </c>
    </row>
    <row r="16" customFormat="false" ht="15" hidden="false" customHeight="false" outlineLevel="0" collapsed="false">
      <c r="A16" s="15" t="n">
        <v>33919.81</v>
      </c>
      <c r="B16" s="24" t="n">
        <v>0.15</v>
      </c>
      <c r="C16" s="15" t="n">
        <v>4257.57</v>
      </c>
    </row>
    <row r="17" customFormat="false" ht="15" hidden="false" customHeight="false" outlineLevel="0" collapsed="false">
      <c r="A17" s="15" t="n">
        <v>45012.61</v>
      </c>
      <c r="B17" s="24" t="n">
        <v>0.225</v>
      </c>
      <c r="C17" s="15" t="n">
        <v>7633.51</v>
      </c>
    </row>
    <row r="18" customFormat="false" ht="15" hidden="false" customHeight="false" outlineLevel="0" collapsed="false">
      <c r="A18" s="15" t="n">
        <v>55976.17</v>
      </c>
      <c r="B18" s="24" t="n">
        <v>0.275</v>
      </c>
      <c r="C18" s="15" t="n">
        <v>10432.32</v>
      </c>
    </row>
    <row r="20" customFormat="false" ht="15" hidden="false" customHeight="false" outlineLevel="0" collapsed="false">
      <c r="A20" s="7" t="s">
        <v>186</v>
      </c>
    </row>
    <row r="21" customFormat="false" ht="42" hidden="false" customHeight="true" outlineLevel="0" collapsed="false">
      <c r="A21" s="8" t="s">
        <v>187</v>
      </c>
      <c r="B21" s="8" t="s">
        <v>188</v>
      </c>
    </row>
    <row r="22" customFormat="false" ht="15" hidden="false" customHeight="false" outlineLevel="0" collapsed="false">
      <c r="A22" s="25" t="n">
        <v>43466</v>
      </c>
      <c r="B22" s="24" t="n">
        <v>0.0054</v>
      </c>
    </row>
    <row r="23" customFormat="false" ht="15" hidden="false" customHeight="false" outlineLevel="0" collapsed="false">
      <c r="A23" s="25" t="n">
        <v>43497</v>
      </c>
      <c r="B23" s="24" t="n">
        <v>0.0049</v>
      </c>
    </row>
    <row r="24" customFormat="false" ht="15" hidden="false" customHeight="false" outlineLevel="0" collapsed="false">
      <c r="A24" s="25" t="n">
        <v>43525</v>
      </c>
      <c r="B24" s="24" t="n">
        <v>0.0047</v>
      </c>
    </row>
    <row r="25" customFormat="false" ht="15" hidden="false" customHeight="false" outlineLevel="0" collapsed="false">
      <c r="A25" s="25" t="n">
        <v>43556</v>
      </c>
      <c r="B25" s="24" t="n">
        <v>0.0052</v>
      </c>
    </row>
    <row r="26" customFormat="false" ht="15" hidden="false" customHeight="false" outlineLevel="0" collapsed="false">
      <c r="A26" s="25" t="n">
        <v>43586</v>
      </c>
      <c r="B26" s="24" t="n">
        <v>0.0054</v>
      </c>
    </row>
    <row r="27" customFormat="false" ht="15" hidden="false" customHeight="false" outlineLevel="0" collapsed="false">
      <c r="A27" s="25" t="n">
        <v>43617</v>
      </c>
      <c r="B27" s="24" t="n">
        <v>0.0047</v>
      </c>
    </row>
    <row r="28" customFormat="false" ht="15" hidden="false" customHeight="false" outlineLevel="0" collapsed="false">
      <c r="A28" s="25" t="n">
        <v>43647</v>
      </c>
      <c r="B28" s="24" t="n">
        <v>0.0057</v>
      </c>
    </row>
    <row r="29" customFormat="false" ht="15" hidden="false" customHeight="false" outlineLevel="0" collapsed="false">
      <c r="A29" s="25" t="n">
        <v>43678</v>
      </c>
      <c r="B29" s="24" t="n">
        <v>0.005</v>
      </c>
    </row>
    <row r="30" customFormat="false" ht="15" hidden="false" customHeight="false" outlineLevel="0" collapsed="false">
      <c r="A30" s="25" t="n">
        <v>43709</v>
      </c>
      <c r="B30" s="24" t="n">
        <v>0.0046</v>
      </c>
    </row>
    <row r="31" customFormat="false" ht="15" hidden="false" customHeight="false" outlineLevel="0" collapsed="false">
      <c r="A31" s="25" t="n">
        <v>43739</v>
      </c>
      <c r="B31" s="24" t="n">
        <v>0.0048</v>
      </c>
    </row>
    <row r="32" customFormat="false" ht="15" hidden="false" customHeight="false" outlineLevel="0" collapsed="false">
      <c r="A32" s="25" t="n">
        <v>43770</v>
      </c>
      <c r="B32" s="24" t="n">
        <v>0.0038</v>
      </c>
    </row>
    <row r="33" customFormat="false" ht="15" hidden="false" customHeight="false" outlineLevel="0" collapsed="false">
      <c r="A33" s="25" t="n">
        <v>43800</v>
      </c>
      <c r="B33" s="24" t="n">
        <v>0.0037</v>
      </c>
    </row>
    <row r="34" customFormat="false" ht="15" hidden="false" customHeight="false" outlineLevel="0" collapsed="false">
      <c r="A34" s="25" t="n">
        <v>43831</v>
      </c>
      <c r="B34" s="24" t="n">
        <v>0.0038</v>
      </c>
    </row>
    <row r="35" customFormat="false" ht="15" hidden="false" customHeight="false" outlineLevel="0" collapsed="false">
      <c r="A35" s="25" t="n">
        <v>43862</v>
      </c>
      <c r="B35" s="24" t="n">
        <v>0.0029</v>
      </c>
    </row>
    <row r="36" customFormat="false" ht="15" hidden="false" customHeight="false" outlineLevel="0" collapsed="false">
      <c r="A36" s="25" t="n">
        <v>43891</v>
      </c>
      <c r="B36" s="24" t="n">
        <v>0.0034</v>
      </c>
    </row>
    <row r="37" customFormat="false" ht="15" hidden="false" customHeight="false" outlineLevel="0" collapsed="false">
      <c r="A37" s="25" t="n">
        <v>43922</v>
      </c>
      <c r="B37" s="24" t="n">
        <v>0.0028</v>
      </c>
    </row>
    <row r="38" customFormat="false" ht="15" hidden="false" customHeight="false" outlineLevel="0" collapsed="false">
      <c r="A38" s="25" t="n">
        <v>43952</v>
      </c>
      <c r="B38" s="24" t="n">
        <v>0.0024</v>
      </c>
    </row>
    <row r="39" customFormat="false" ht="15" hidden="false" customHeight="false" outlineLevel="0" collapsed="false">
      <c r="A39" s="25" t="n">
        <v>43983</v>
      </c>
      <c r="B39" s="24" t="n">
        <v>0.0021</v>
      </c>
    </row>
    <row r="40" customFormat="false" ht="15" hidden="false" customHeight="false" outlineLevel="0" collapsed="false">
      <c r="A40" s="25" t="n">
        <v>44013</v>
      </c>
      <c r="B40" s="24" t="n">
        <v>0.0019</v>
      </c>
    </row>
    <row r="41" customFormat="false" ht="15" hidden="false" customHeight="false" outlineLevel="0" collapsed="false">
      <c r="A41" s="25" t="n">
        <v>44044</v>
      </c>
      <c r="B41" s="24" t="n">
        <v>0.0016</v>
      </c>
    </row>
    <row r="42" customFormat="false" ht="15" hidden="false" customHeight="false" outlineLevel="0" collapsed="false">
      <c r="A42" s="25" t="n">
        <v>44075</v>
      </c>
      <c r="B42" s="24" t="n">
        <v>0.0016</v>
      </c>
    </row>
    <row r="43" customFormat="false" ht="15" hidden="false" customHeight="false" outlineLevel="0" collapsed="false">
      <c r="A43" s="25" t="n">
        <v>44105</v>
      </c>
      <c r="B43" s="24" t="n">
        <v>0.0016</v>
      </c>
    </row>
    <row r="44" customFormat="false" ht="15" hidden="false" customHeight="false" outlineLevel="0" collapsed="false">
      <c r="A44" s="25" t="n">
        <v>44136</v>
      </c>
      <c r="B44" s="24" t="n">
        <v>0.0015</v>
      </c>
    </row>
    <row r="45" customFormat="false" ht="15" hidden="false" customHeight="false" outlineLevel="0" collapsed="false">
      <c r="A45" s="25" t="n">
        <v>44166</v>
      </c>
      <c r="B45" s="24" t="n">
        <v>0.0016</v>
      </c>
    </row>
    <row r="46" customFormat="false" ht="15" hidden="false" customHeight="false" outlineLevel="0" collapsed="false">
      <c r="A46" s="25" t="n">
        <v>44197</v>
      </c>
      <c r="B46" s="24" t="n">
        <v>0.0015</v>
      </c>
    </row>
    <row r="47" customFormat="false" ht="15" hidden="false" customHeight="false" outlineLevel="0" collapsed="false">
      <c r="A47" s="25" t="n">
        <v>44228</v>
      </c>
      <c r="B47" s="24" t="n">
        <v>0.0013</v>
      </c>
    </row>
    <row r="48" customFormat="false" ht="15" hidden="false" customHeight="false" outlineLevel="0" collapsed="false">
      <c r="A48" s="25" t="n">
        <v>44256</v>
      </c>
      <c r="B48" s="24" t="n">
        <v>0.002</v>
      </c>
    </row>
    <row r="49" customFormat="false" ht="15" hidden="false" customHeight="false" outlineLevel="0" collapsed="false">
      <c r="A49" s="25" t="n">
        <v>44287</v>
      </c>
      <c r="B49" s="24" t="n">
        <v>0.0021</v>
      </c>
    </row>
    <row r="50" customFormat="false" ht="15" hidden="false" customHeight="false" outlineLevel="0" collapsed="false">
      <c r="A50" s="25" t="n">
        <v>44317</v>
      </c>
      <c r="B50" s="24" t="n">
        <v>0.0027</v>
      </c>
    </row>
    <row r="51" customFormat="false" ht="15" hidden="false" customHeight="false" outlineLevel="0" collapsed="false">
      <c r="A51" s="25" t="n">
        <v>44348</v>
      </c>
      <c r="B51" s="24" t="n">
        <v>0.0031</v>
      </c>
    </row>
    <row r="52" customFormat="false" ht="15" hidden="false" customHeight="false" outlineLevel="0" collapsed="false">
      <c r="A52" s="25" t="n">
        <v>44378</v>
      </c>
      <c r="B52" s="24" t="n">
        <v>0.0036</v>
      </c>
    </row>
    <row r="53" customFormat="false" ht="15" hidden="false" customHeight="false" outlineLevel="0" collapsed="false">
      <c r="A53" s="25" t="n">
        <v>44409</v>
      </c>
      <c r="B53" s="24" t="n">
        <v>0.0043</v>
      </c>
    </row>
    <row r="54" customFormat="false" ht="15" hidden="false" customHeight="false" outlineLevel="0" collapsed="false">
      <c r="A54" s="25" t="n">
        <v>44440</v>
      </c>
      <c r="B54" s="24" t="n">
        <v>0.0044</v>
      </c>
    </row>
    <row r="55" customFormat="false" ht="15" hidden="false" customHeight="false" outlineLevel="0" collapsed="false">
      <c r="A55" s="25" t="n">
        <v>44470</v>
      </c>
      <c r="B55" s="24" t="n">
        <v>0.0049</v>
      </c>
    </row>
    <row r="56" customFormat="false" ht="15" hidden="false" customHeight="false" outlineLevel="0" collapsed="false">
      <c r="A56" s="25" t="n">
        <v>44501</v>
      </c>
      <c r="B56" s="24" t="n">
        <v>0.0059</v>
      </c>
    </row>
    <row r="57" customFormat="false" ht="15" hidden="false" customHeight="false" outlineLevel="0" collapsed="false">
      <c r="A57" s="25" t="n">
        <v>44531</v>
      </c>
      <c r="B57" s="24" t="n">
        <v>0.0077</v>
      </c>
    </row>
    <row r="58" customFormat="false" ht="15" hidden="false" customHeight="false" outlineLevel="0" collapsed="false">
      <c r="A58" s="25" t="n">
        <v>44562</v>
      </c>
      <c r="B58" s="24" t="n">
        <v>0.0073</v>
      </c>
    </row>
    <row r="59" customFormat="false" ht="15" hidden="false" customHeight="false" outlineLevel="0" collapsed="false">
      <c r="A59" s="25" t="n">
        <v>44593</v>
      </c>
      <c r="B59" s="24" t="n">
        <v>0.0076</v>
      </c>
    </row>
    <row r="60" customFormat="false" ht="15" hidden="false" customHeight="false" outlineLevel="0" collapsed="false">
      <c r="A60" s="25" t="n">
        <v>44621</v>
      </c>
      <c r="B60" s="24" t="n">
        <v>0.0093</v>
      </c>
    </row>
    <row r="61" customFormat="false" ht="15" hidden="false" customHeight="false" outlineLevel="0" collapsed="false">
      <c r="A61" s="25" t="n">
        <v>44652</v>
      </c>
      <c r="B61" s="24" t="n">
        <v>0.0083</v>
      </c>
    </row>
    <row r="62" customFormat="false" ht="15" hidden="false" customHeight="false" outlineLevel="0" collapsed="false">
      <c r="A62" s="25" t="n">
        <v>44682</v>
      </c>
      <c r="B62" s="24" t="n">
        <v>0.0103</v>
      </c>
    </row>
    <row r="63" customFormat="false" ht="15" hidden="false" customHeight="false" outlineLevel="0" collapsed="false">
      <c r="A63" s="25" t="n">
        <v>44713</v>
      </c>
      <c r="B63" s="24" t="n">
        <v>0.0102</v>
      </c>
    </row>
    <row r="64" customFormat="false" ht="15" hidden="false" customHeight="false" outlineLevel="0" collapsed="false">
      <c r="A64" s="25" t="n">
        <v>44743</v>
      </c>
      <c r="B64" s="24" t="n">
        <v>0.0103</v>
      </c>
    </row>
    <row r="65" customFormat="false" ht="15" hidden="false" customHeight="false" outlineLevel="0" collapsed="false">
      <c r="A65" s="25" t="n">
        <v>44774</v>
      </c>
      <c r="B65" s="24" t="n">
        <v>0.0117</v>
      </c>
    </row>
    <row r="66" customFormat="false" ht="15" hidden="false" customHeight="false" outlineLevel="0" collapsed="false">
      <c r="A66" s="25" t="n">
        <v>44805</v>
      </c>
      <c r="B66" s="24" t="n">
        <v>0.0107</v>
      </c>
    </row>
    <row r="67" customFormat="false" ht="15" hidden="false" customHeight="false" outlineLevel="0" collapsed="false">
      <c r="A67" s="25" t="n">
        <v>44835</v>
      </c>
      <c r="B67" s="24" t="n">
        <v>0.0102</v>
      </c>
    </row>
    <row r="68" customFormat="false" ht="15" hidden="false" customHeight="false" outlineLevel="0" collapsed="false">
      <c r="A68" s="25" t="n">
        <v>44866</v>
      </c>
      <c r="B68" s="24" t="n">
        <v>0.0102</v>
      </c>
    </row>
    <row r="69" customFormat="false" ht="15" hidden="false" customHeight="false" outlineLevel="0" collapsed="false">
      <c r="A69" s="25" t="n">
        <v>44896</v>
      </c>
      <c r="B69" s="24" t="n">
        <v>0.0112</v>
      </c>
    </row>
    <row r="70" customFormat="false" ht="15" hidden="false" customHeight="false" outlineLevel="0" collapsed="false">
      <c r="A70" s="25" t="n">
        <v>44927</v>
      </c>
      <c r="B70" s="24" t="n">
        <v>0.0112</v>
      </c>
    </row>
    <row r="71" customFormat="false" ht="15" hidden="false" customHeight="false" outlineLevel="0" collapsed="false">
      <c r="A71" s="25" t="n">
        <v>44958</v>
      </c>
      <c r="B71" s="24" t="n">
        <v>0.0092</v>
      </c>
    </row>
    <row r="72" customFormat="false" ht="15" hidden="false" customHeight="false" outlineLevel="0" collapsed="false">
      <c r="A72" s="25" t="n">
        <v>44986</v>
      </c>
      <c r="B72" s="24" t="n">
        <v>0.0117</v>
      </c>
    </row>
    <row r="73" customFormat="false" ht="15" hidden="false" customHeight="false" outlineLevel="0" collapsed="false">
      <c r="A73" s="25" t="n">
        <v>45017</v>
      </c>
      <c r="B73" s="24" t="n">
        <v>0.0092</v>
      </c>
    </row>
    <row r="74" customFormat="false" ht="15" hidden="false" customHeight="false" outlineLevel="0" collapsed="false">
      <c r="A74" s="25" t="n">
        <v>45047</v>
      </c>
      <c r="B74" s="24" t="n">
        <v>0.0112</v>
      </c>
    </row>
    <row r="75" customFormat="false" ht="15" hidden="false" customHeight="false" outlineLevel="0" collapsed="false">
      <c r="A75" s="25" t="n">
        <v>45078</v>
      </c>
      <c r="B75" s="24" t="n">
        <v>0.0107</v>
      </c>
    </row>
    <row r="76" customFormat="false" ht="15" hidden="false" customHeight="false" outlineLevel="0" collapsed="false">
      <c r="A76" s="25" t="n">
        <v>45108</v>
      </c>
      <c r="B76" s="24" t="n">
        <v>0.0107</v>
      </c>
    </row>
    <row r="77" customFormat="false" ht="15" hidden="false" customHeight="false" outlineLevel="0" collapsed="false">
      <c r="A77" s="25" t="n">
        <v>45139</v>
      </c>
      <c r="B77" s="24" t="n">
        <v>0.0114</v>
      </c>
    </row>
    <row r="78" customFormat="false" ht="15" hidden="false" customHeight="false" outlineLevel="0" collapsed="false">
      <c r="A78" s="25" t="n">
        <v>45170</v>
      </c>
      <c r="B78" s="24" t="n">
        <v>0.0097</v>
      </c>
    </row>
    <row r="79" customFormat="false" ht="15" hidden="false" customHeight="false" outlineLevel="0" collapsed="false">
      <c r="A79" s="25" t="n">
        <v>45200</v>
      </c>
      <c r="B79" s="24" t="n">
        <v>0.01</v>
      </c>
    </row>
    <row r="80" customFormat="false" ht="15" hidden="false" customHeight="false" outlineLevel="0" collapsed="false">
      <c r="A80" s="25" t="n">
        <v>45231</v>
      </c>
      <c r="B80" s="24" t="n">
        <v>0.0092</v>
      </c>
    </row>
    <row r="81" customFormat="false" ht="15" hidden="false" customHeight="false" outlineLevel="0" collapsed="false">
      <c r="A81" s="25" t="n">
        <v>45261</v>
      </c>
      <c r="B81" s="24" t="n">
        <v>0.0089</v>
      </c>
    </row>
    <row r="82" customFormat="false" ht="15" hidden="false" customHeight="false" outlineLevel="0" collapsed="false">
      <c r="A82" s="25" t="n">
        <v>45292</v>
      </c>
      <c r="B82" s="24" t="n">
        <v>0.0097</v>
      </c>
    </row>
    <row r="83" customFormat="false" ht="15" hidden="false" customHeight="false" outlineLevel="0" collapsed="false">
      <c r="A83" s="25" t="n">
        <v>45323</v>
      </c>
      <c r="B83" s="24" t="n">
        <v>0.008</v>
      </c>
    </row>
    <row r="84" customFormat="false" ht="15" hidden="false" customHeight="false" outlineLevel="0" collapsed="false">
      <c r="A84" s="25" t="n">
        <v>45352</v>
      </c>
      <c r="B84" s="24" t="n">
        <v>0.0083</v>
      </c>
    </row>
    <row r="85" customFormat="false" ht="15" hidden="false" customHeight="false" outlineLevel="0" collapsed="false">
      <c r="A85" s="25" t="n">
        <v>45383</v>
      </c>
      <c r="B85" s="24" t="n">
        <v>0.0089</v>
      </c>
    </row>
    <row r="86" customFormat="false" ht="15" hidden="false" customHeight="false" outlineLevel="0" collapsed="false">
      <c r="A86" s="25" t="n">
        <v>45413</v>
      </c>
      <c r="B86" s="24" t="n">
        <v>0.0083</v>
      </c>
    </row>
    <row r="87" customFormat="false" ht="15" hidden="false" customHeight="false" outlineLevel="0" collapsed="false">
      <c r="A87" s="25" t="n">
        <v>45444</v>
      </c>
      <c r="B87" s="24" t="n">
        <v>0.0079</v>
      </c>
    </row>
    <row r="88" customFormat="false" ht="15" hidden="false" customHeight="false" outlineLevel="0" collapsed="false">
      <c r="A88" s="25" t="n">
        <v>45474</v>
      </c>
      <c r="B88" s="24" t="n">
        <v>0.0091</v>
      </c>
    </row>
    <row r="89" customFormat="false" ht="15" hidden="false" customHeight="false" outlineLevel="0" collapsed="false">
      <c r="A89" s="25" t="n">
        <v>45505</v>
      </c>
      <c r="B89" s="24" t="n">
        <v>0.0087</v>
      </c>
    </row>
    <row r="90" customFormat="false" ht="15" hidden="false" customHeight="false" outlineLevel="0" collapsed="false">
      <c r="A90" s="25" t="n">
        <v>45536</v>
      </c>
      <c r="B90" s="24" t="n">
        <v>0.0084</v>
      </c>
    </row>
    <row r="91" customFormat="false" ht="15" hidden="false" customHeight="false" outlineLevel="0" collapsed="false">
      <c r="A91" s="25" t="n">
        <v>45566</v>
      </c>
      <c r="B91" s="24" t="n">
        <v>0.0093</v>
      </c>
    </row>
    <row r="92" customFormat="false" ht="15" hidden="false" customHeight="false" outlineLevel="0" collapsed="false">
      <c r="A92" s="25" t="n">
        <v>45597</v>
      </c>
      <c r="B92" s="24" t="n">
        <v>0.0079</v>
      </c>
    </row>
    <row r="93" customFormat="false" ht="15" hidden="false" customHeight="false" outlineLevel="0" collapsed="false">
      <c r="A93" s="25" t="n">
        <v>45627</v>
      </c>
      <c r="B93" s="24" t="n">
        <v>0.0093</v>
      </c>
    </row>
    <row r="94" customFormat="false" ht="15" hidden="false" customHeight="false" outlineLevel="0" collapsed="false">
      <c r="A94" s="25" t="n">
        <v>45658</v>
      </c>
      <c r="B94" s="24" t="n">
        <v>0.0101</v>
      </c>
    </row>
    <row r="95" customFormat="false" ht="15" hidden="false" customHeight="false" outlineLevel="0" collapsed="false">
      <c r="A95" s="25" t="n">
        <v>45689</v>
      </c>
      <c r="B95" s="24" t="n">
        <v>0.0099</v>
      </c>
    </row>
    <row r="96" customFormat="false" ht="15" hidden="false" customHeight="false" outlineLevel="0" collapsed="false">
      <c r="A96" s="25" t="n">
        <v>45717</v>
      </c>
      <c r="B96" s="24" t="n">
        <v>0.0096</v>
      </c>
    </row>
    <row r="97" customFormat="false" ht="15" hidden="false" customHeight="false" outlineLevel="0" collapsed="false">
      <c r="A97" s="25" t="n">
        <v>45748</v>
      </c>
      <c r="B97" s="24" t="n">
        <v>0.0106</v>
      </c>
    </row>
    <row r="98" customFormat="false" ht="15" hidden="false" customHeight="false" outlineLevel="0" collapsed="false">
      <c r="A98" s="25" t="n">
        <v>45778</v>
      </c>
      <c r="B98" s="24" t="n">
        <v>0.0114</v>
      </c>
    </row>
    <row r="99" customFormat="false" ht="15" hidden="false" customHeight="false" outlineLevel="0" collapsed="false">
      <c r="A99" s="25" t="n">
        <v>45809</v>
      </c>
      <c r="B99" s="24" t="n">
        <v>0.011</v>
      </c>
    </row>
    <row r="100" customFormat="false" ht="15" hidden="false" customHeight="false" outlineLevel="0" collapsed="false">
      <c r="A100" s="25" t="n">
        <v>45839</v>
      </c>
      <c r="B100" s="24" t="n">
        <v>0.0128</v>
      </c>
    </row>
    <row r="101" customFormat="false" ht="15" hidden="false" customHeight="false" outlineLevel="0" collapsed="false">
      <c r="A101" s="25" t="n">
        <v>45870</v>
      </c>
      <c r="B101" s="24" t="n">
        <v>0.0116</v>
      </c>
    </row>
    <row r="102" customFormat="false" ht="15" hidden="false" customHeight="false" outlineLevel="0" collapsed="false">
      <c r="A102" s="25" t="n">
        <v>45901</v>
      </c>
      <c r="B102" s="24" t="n">
        <v>0.0122</v>
      </c>
    </row>
    <row r="103" customFormat="false" ht="15" hidden="false" customHeight="false" outlineLevel="0" collapsed="false">
      <c r="A103" s="25" t="n">
        <v>45931</v>
      </c>
      <c r="B103" s="24" t="n">
        <v>0.0128</v>
      </c>
    </row>
    <row r="104" customFormat="false" ht="15" hidden="false" customHeight="false" outlineLevel="0" collapsed="false">
      <c r="A104" s="25" t="n">
        <v>45962</v>
      </c>
      <c r="B104" s="24" t="n">
        <v>0.0105</v>
      </c>
    </row>
    <row r="105" customFormat="false" ht="15" hidden="false" customHeight="false" outlineLevel="0" collapsed="false">
      <c r="A105" s="25" t="n">
        <v>45992</v>
      </c>
      <c r="B105" s="24" t="n">
        <v>0.0122</v>
      </c>
    </row>
    <row r="106" customFormat="false" ht="15" hidden="false" customHeight="false" outlineLevel="0" collapsed="false">
      <c r="A106" s="25" t="n">
        <v>46023</v>
      </c>
      <c r="B106" s="24" t="n">
        <v>0.0116</v>
      </c>
    </row>
    <row r="107" customFormat="false" ht="15" hidden="false" customHeight="false" outlineLevel="0" collapsed="false">
      <c r="A107" s="25" t="n">
        <v>46054</v>
      </c>
      <c r="B107" s="24" t="n">
        <v>0.01</v>
      </c>
    </row>
    <row r="108" customFormat="false" ht="15" hidden="false" customHeight="false" outlineLevel="0" collapsed="false">
      <c r="A108" s="25" t="n">
        <v>46082</v>
      </c>
      <c r="B108" s="24" t="n">
        <v>0.0121</v>
      </c>
    </row>
    <row r="109" customFormat="false" ht="15" hidden="false" customHeight="false" outlineLevel="0" collapsed="false">
      <c r="A109" s="25" t="n">
        <v>46113</v>
      </c>
      <c r="B109" s="24" t="n">
        <v>0.0109</v>
      </c>
    </row>
    <row r="110" customFormat="false" ht="15" hidden="false" customHeight="false" outlineLevel="0" collapsed="false">
      <c r="A110" s="25" t="n">
        <v>46143</v>
      </c>
      <c r="B110" s="24" t="n">
        <v>0.0107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2026-10-05T01:40:58Z</dcterms:created>
  <dc:creator>openpyxl</dc:creator>
  <dc:description/>
  <dc:language>en-US</dc:language>
  <cp:lastModifiedBy/>
  <dcterms:modified xsi:type="dcterms:W3CDTF">2026-10-05T01:40:58Z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