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1_EXECUTIVE_SUMMARY" sheetId="2" state="visible" r:id="rId4"/>
    <sheet name="02_TAX_TIMELINE" sheetId="3" state="visible" r:id="rId5"/>
    <sheet name="03_INCOME" sheetId="4" state="visible" r:id="rId6"/>
    <sheet name="04_BANK_TRANSACTIONS" sheetId="5" state="visible" r:id="rId7"/>
    <sheet name="05_US_TAXES" sheetId="6" state="visible" r:id="rId8"/>
    <sheet name="06_FOREIGN_TAX_CREDIT" sheetId="7" state="visible" r:id="rId9"/>
    <sheet name="07_BRAZIL_TAX_CALCULATION" sheetId="8" state="visible" r:id="rId10"/>
    <sheet name="08_INTEREST_PENALTIES" sheetId="9" state="visible" r:id="rId11"/>
    <sheet name="09_REAL_ESTATE" sheetId="10" state="visible" r:id="rId12"/>
    <sheet name="10_DOCUMENT_CONTROL" sheetId="11" state="visible" r:id="rId13"/>
    <sheet name="11_RISKS" sheetId="12" state="visible" r:id="rId14"/>
    <sheet name="12_LEGAL_SOURCES" sheetId="13" state="visible" r:id="rId15"/>
    <sheet name="00_PARAMETROS" sheetId="14" state="visible" r:id="rId16"/>
    <sheet name="SELIC" sheetId="15" state="visible" r:id="rId17"/>
  </sheets>
  <definedNames>
    <definedName function="false" hidden="true" localSheetId="4" name="_xlnm._FilterDatabase" vbProcedure="false">04_BANK_TRANSACTIONS!$A$4:$X$168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<sst xmlns="http://schemas.openxmlformats.org/spreadsheetml/2006/main" count="2426" uniqueCount="873">
  <si>
    <t xml:space="preserve">IRPF JOSÉ ADALMO — MEMÓRIA DE CÁLCULO PARA REGULARIZAÇÃO (BR–EUA)</t>
  </si>
  <si>
    <t xml:space="preserve">Contribuinte: José Adalmo Carvalho de Barros — CPF 069.351.996-70 | Cônjuge: Márcia Novais de Melo Barros — CPF 023.515.229-31</t>
  </si>
  <si>
    <t xml:space="preserve">Responsável técnico: Robson Soares Bezerra — CRC/PR 062711/O | Elaborado em 29/09/2026 | Data-base editável em 00_PARAMETROS!B4</t>
  </si>
  <si>
    <t xml:space="preserve">TRILHA DE AUDITORIA: Documento → valor extraído → câmbio → R$ → regra → imposto → crédito → juros/multa → saldo (abas 03 → 05/04 → 07 → 06 → 08 → 01).</t>
  </si>
  <si>
    <t xml:space="preserve">LEGENDA: células amarelas com fonte azul = entrada editável | laranja = pendência | azul-claro = totais | todas as demais são fórmulas.</t>
  </si>
  <si>
    <t xml:space="preserve">TAGS: [FATO CONFIRMADO] documento lido | [INFERÊNCIA TÉCNICA] conclusão a partir de norma + fato | [HIPÓTESE] premissa não comprovada | [SUGESTÃO] recomendação.</t>
  </si>
  <si>
    <t xml:space="preserve">REGRA CRÍTICA: nenhum valor PENDENTE vira imposto devido. Os cenários A/B medem exposição máxima; o 'Total payable' inclui só o apurado e exigível.</t>
  </si>
  <si>
    <t xml:space="preserve">COMO USAR</t>
  </si>
  <si>
    <t xml:space="preserve">1. Em 04_BANK_TRANSACTIONS, coluna K, escolha a natureza comprovada de cada entrada de terceiros. Para GCAP, informe o ganho na coluna M.</t>
  </si>
  <si>
    <t xml:space="preserve">2. Ajuste a data-base (00_PARAMETROS!B4) para a data do pagamento pretendido; os juros SELIC e a multa recalculam sozinhos.</t>
  </si>
  <si>
    <t xml:space="preserve">3. Atualize a tabela SELIC com os meses seguintes (fonte BCB SGS 4390 / tabela RFB).</t>
  </si>
  <si>
    <t xml:space="preserve">4. Se surgir prova de outra data de saída, altere 00_PARAMETROS!B5 — a linha do tempo é ajustada manualmente na aba 02 (colunas B/C).</t>
  </si>
  <si>
    <t xml:space="preserve">CORREÇÕES EM RELAÇÃO AO LAUDO FASE 6 (24/09/2026): ver 11_RISKS (V-01 a V-03, R-02, R-03, R-11).</t>
  </si>
  <si>
    <t xml:space="preserve">Limitação: esta memória não substitui parecer jurídico-tributário individualizado. Os valores do AC 2018 são informativos (crédito extinto pela decadência).</t>
  </si>
  <si>
    <t xml:space="preserve">01 — RESUMO EXECUTIVO POR ANO (valores em R$)</t>
  </si>
  <si>
    <t xml:space="preserve">José Adalmo Carvalho de Barros — CPF 069.351.996-70 | Resp. técnico: Robson Soares Bezerra — CRC/PR 062711/O</t>
  </si>
  <si>
    <t xml:space="preserve">Year</t>
  </si>
  <si>
    <t xml:space="preserve">Tax residency</t>
  </si>
  <si>
    <t xml:space="preserve">Taxable income (BR)</t>
  </si>
  <si>
    <t xml:space="preserve">Brazilian tax</t>
  </si>
  <si>
    <t xml:space="preserve">U.S. tax potentially creditable</t>
  </si>
  <si>
    <t xml:space="preserve">Tax already paid</t>
  </si>
  <si>
    <t xml:space="preserve">Interest</t>
  </si>
  <si>
    <t xml:space="preserve">Penalties</t>
  </si>
  <si>
    <t xml:space="preserve">Updated balance</t>
  </si>
  <si>
    <t xml:space="preserve">Total payable</t>
  </si>
  <si>
    <t xml:space="preserve">Exposição Cenário A (atualiz.)</t>
  </si>
  <si>
    <t xml:space="preserve">Exposição Cenário B (atualiz.)</t>
  </si>
  <si>
    <t xml:space="preserve">Status</t>
  </si>
  <si>
    <t xml:space="preserve">TOTAL</t>
  </si>
  <si>
    <t xml:space="preserve">Nota: nos anos de não residência, a coluna Interest mostra juros + multa de mora agregados (cálculo linha a linha na aba 04).</t>
  </si>
  <si>
    <t xml:space="preserve">INDICADORES-CHAVE</t>
  </si>
  <si>
    <t xml:space="preserve">Recebimentos de terceiros no BR sem natureza comprovada (R$)</t>
  </si>
  <si>
    <t xml:space="preserve">Qtde. de recebimentos materiais pendentes</t>
  </si>
  <si>
    <t xml:space="preserve">Imóveis 2025 — preço contratado (R$)</t>
  </si>
  <si>
    <t xml:space="preserve">Imóveis — vencido em 2025 sem pagamento rastreado no Nubank (R$)</t>
  </si>
  <si>
    <t xml:space="preserve">Pendências críticas em aberto</t>
  </si>
  <si>
    <t xml:space="preserve">02 — LINHA DO TEMPO DE RESIDÊNCIA E OBRIGAÇÕES (2016–2026)</t>
  </si>
  <si>
    <t xml:space="preserve">Decadência: sem declaração e sem pagamento → CTN art. 173, I (1º dia do exercício seguinte àquele em que o lançamento poderia ser efetuado + 5 anos) — STJ, Súmula 555 [INFERÊNCIA TÉCNICA]. Para AC 2020+ refere-se ao IRRF de fonte BR (fato gerador no próprio ano).</t>
  </si>
  <si>
    <t xml:space="preserve">AC</t>
  </si>
  <si>
    <t xml:space="preserve">Situação fiscal</t>
  </si>
  <si>
    <t xml:space="preserve">Período</t>
  </si>
  <si>
    <t xml:space="preserve">Obrigação declaratória</t>
  </si>
  <si>
    <t xml:space="preserve">Prazo de entrega</t>
  </si>
  <si>
    <t xml:space="preserve">Decadência (CTN 173, I)</t>
  </si>
  <si>
    <t xml:space="preserve">Status na data-base</t>
  </si>
  <si>
    <t xml:space="preserve">Tributo BR sobre renda EUA?</t>
  </si>
  <si>
    <t xml:space="preserve">Risco</t>
  </si>
  <si>
    <t xml:space="preserve">Nota técnica</t>
  </si>
  <si>
    <t xml:space="preserve">RESIDENTE</t>
  </si>
  <si>
    <t xml:space="preserve">01/01–31/12/2016</t>
  </si>
  <si>
    <t xml:space="preserve">DIRPF — ENTREGUE (recibo na pasta)</t>
  </si>
  <si>
    <t xml:space="preserve">Não</t>
  </si>
  <si>
    <t xml:space="preserve">BAIXO</t>
  </si>
  <si>
    <t xml:space="preserve">[FATO CONFIRMADO] DEC + REC na pasta 2017/.</t>
  </si>
  <si>
    <t xml:space="preserve">01/01–31/12/2017</t>
  </si>
  <si>
    <t xml:space="preserve">DIRPF — entrega informada, sem recibo</t>
  </si>
  <si>
    <t xml:space="preserve">[HIPÓTESE] Cliente afirma entrega; recibo não localizado. Decaído.</t>
  </si>
  <si>
    <t xml:space="preserve">01/01–31/12/2018 (ausente desde 25/01, sem CSDP)</t>
  </si>
  <si>
    <t xml:space="preserve">DIRPF obrigatória — NÃO ENTREGUE</t>
  </si>
  <si>
    <t xml:space="preserve">SIM (rend. mundiais)</t>
  </si>
  <si>
    <t xml:space="preserve">MÉDIO</t>
  </si>
  <si>
    <t xml:space="preserve">[INFERÊNCIA TÉCNICA] W-2 US$ 25.628 &gt; limite. Cálculo em 07 (informativo). Decaído pelo art. 173, I.</t>
  </si>
  <si>
    <t xml:space="preserve">PARCIAL</t>
  </si>
  <si>
    <t xml:space="preserve">Residente 01/01–24/01; não residente a partir de 25/01/2019</t>
  </si>
  <si>
    <t xml:space="preserve">DSDP AC 2019 — NÃO ENTREGUE [INFERÊNCIA — confirmar obrigatoriedade]</t>
  </si>
  <si>
    <t xml:space="preserve">Só no período residente</t>
  </si>
  <si>
    <t xml:space="preserve">Prazo prorrogado para 30/06/2020 (IN RFB 1.930/2020 — confirmar). Renda do período residente &lt; limite; sem imposto. MAED decaído.</t>
  </si>
  <si>
    <t xml:space="preserve">NÃO RESIDENTE</t>
  </si>
  <si>
    <t xml:space="preserve">Ano inteiro</t>
  </si>
  <si>
    <t xml:space="preserve">Sem DIRPF</t>
  </si>
  <si>
    <t xml:space="preserve">NÃO</t>
  </si>
  <si>
    <t xml:space="preserve">Renda EUA fora do alcance. Só IRRF sobre eventual renda de fonte BR.</t>
  </si>
  <si>
    <t xml:space="preserve">Idem. Sem extratos BR do período — PENDENTE.</t>
  </si>
  <si>
    <t xml:space="preserve">Idem. Extrato Nubank mai/2022 (03.pdf) referenciado; demais meses PENDENTES.</t>
  </si>
  <si>
    <t xml:space="preserve">Form 1040/2023: digital assets = YES → origem/exchange PENDENTE.</t>
  </si>
  <si>
    <t xml:space="preserve">ALTO</t>
  </si>
  <si>
    <t xml:space="preserve">Recebimentos de terceiros no BR (out–dez/2024) com natureza PENDENTE — ver 04.</t>
  </si>
  <si>
    <t xml:space="preserve">Sem DIRPF — NÃO transmitir o .DEC 2026 (endereço SP)</t>
  </si>
  <si>
    <t xml:space="preserve">Terceiros BR R$ 574 mil + imóveis R$ 1,62 mi. Contrato Blue Ocean declara domicílio em Goioerê/PR (contradição).</t>
  </si>
  <si>
    <t xml:space="preserve">Até a data-base</t>
  </si>
  <si>
    <t xml:space="preserve">Reforços anuais N1 a partir de 25/07/2026 (R$ 88.850/ano) — origem dos recursos.</t>
  </si>
  <si>
    <t xml:space="preserve">03 — RENDIMENTOS EXTRAÍDOS DOS DOCUMENTOS (Documento → Data → Contribuinte → Rendimento → Moeda → R$ → Tratamento → Fonte)</t>
  </si>
  <si>
    <t xml:space="preserve">Documento</t>
  </si>
  <si>
    <t xml:space="preserve">Contribuinte</t>
  </si>
  <si>
    <t xml:space="preserve">Rendimento / transação</t>
  </si>
  <si>
    <t xml:space="preserve">Moeda</t>
  </si>
  <si>
    <t xml:space="preserve">Valor original</t>
  </si>
  <si>
    <t xml:space="preserve">Câmbio</t>
  </si>
  <si>
    <t xml:space="preserve">Valor R$</t>
  </si>
  <si>
    <t xml:space="preserve">Situação fiscal no período</t>
  </si>
  <si>
    <t xml:space="preserve">Tratamento tributário BR</t>
  </si>
  <si>
    <t xml:space="preserve">Form 1040/2018</t>
  </si>
  <si>
    <t xml:space="preserve">2018</t>
  </si>
  <si>
    <t xml:space="preserve">José (MFJ c/ Márcia)</t>
  </si>
  <si>
    <t xml:space="preserve">W-2 wages (empregado)</t>
  </si>
  <si>
    <t xml:space="preserve">USD</t>
  </si>
  <si>
    <t xml:space="preserve">ver 07</t>
  </si>
  <si>
    <t xml:space="preserve">Tributável (residente) — carnê-leão + ajuste; DECAÍDO</t>
  </si>
  <si>
    <t xml:space="preserve">[FATO CONFIRMADO — OCR]</t>
  </si>
  <si>
    <t xml:space="preserve">Form 1040/2019</t>
  </si>
  <si>
    <t xml:space="preserve">2019</t>
  </si>
  <si>
    <t xml:space="preserve">José</t>
  </si>
  <si>
    <t xml:space="preserve">Schedule C (autônomo)</t>
  </si>
  <si>
    <t xml:space="preserve">Tributável só a fração 01–24/01 (abaixo do limite); restante fora do alcance</t>
  </si>
  <si>
    <t xml:space="preserve">Form 1040/2020</t>
  </si>
  <si>
    <t xml:space="preserve">2020</t>
  </si>
  <si>
    <t xml:space="preserve">N/A</t>
  </si>
  <si>
    <t xml:space="preserve">Fonte EUA, contribuinte não residente → não tributável no BR [INFERÊNCIA TÉCNICA]</t>
  </si>
  <si>
    <t xml:space="preserve">Form 1040/2021</t>
  </si>
  <si>
    <t xml:space="preserve">2021</t>
  </si>
  <si>
    <t xml:space="preserve">[FATO CONFIRMADO — Fase 2]</t>
  </si>
  <si>
    <t xml:space="preserve">Form 1040/2022</t>
  </si>
  <si>
    <t xml:space="preserve">2022</t>
  </si>
  <si>
    <t xml:space="preserve">[FATO CONFIRMADO — OCR] (laudo F6 dizia 'a confirmar')</t>
  </si>
  <si>
    <t xml:space="preserve">Form 1040/2023</t>
  </si>
  <si>
    <t xml:space="preserve">2023</t>
  </si>
  <si>
    <t xml:space="preserve">K-1 Two Brothers Drywall &amp; Paint (EIN 37-2048597)</t>
  </si>
  <si>
    <t xml:space="preserve">[INFERÊNCIA TÉCNICA]</t>
  </si>
  <si>
    <t xml:space="preserve">Form 1040/2024</t>
  </si>
  <si>
    <t xml:space="preserve">2024</t>
  </si>
  <si>
    <t xml:space="preserve">Sch C (DeSouza Painting 1099: 10.670) + K-1 Two Brothers, UPE, Royal Flush Inv. &amp; Constr. (EIN 92-3349147)</t>
  </si>
  <si>
    <t xml:space="preserve">[FATO CONFIRMADO — PDF]; pagamento ao IRS NÃO comprovado</t>
  </si>
  <si>
    <t xml:space="preserve">Form 1040/2025</t>
  </si>
  <si>
    <t xml:space="preserve">2025</t>
  </si>
  <si>
    <t xml:space="preserve">Rendimentos EUA 2025</t>
  </si>
  <si>
    <t xml:space="preserve">Não tributável no BR</t>
  </si>
  <si>
    <t xml:space="preserve">PENDENTE — DOCUMENTO NECESSÁRIO</t>
  </si>
  <si>
    <t xml:space="preserve">RECEBIMENTOS DE FONTE BR — ENTRADAS DE TERCEIROS (Nubank), por contraparte e ano — natureza a comprovar</t>
  </si>
  <si>
    <t xml:space="preserve">Ano</t>
  </si>
  <si>
    <t xml:space="preserve">Contraparte</t>
  </si>
  <si>
    <t xml:space="preserve">Extratos Nubank</t>
  </si>
  <si>
    <t xml:space="preserve">FELIPE DE MELO RODRIGUES</t>
  </si>
  <si>
    <t xml:space="preserve">BRL</t>
  </si>
  <si>
    <t xml:space="preserve">LEONARDO CARVALHO BARROS</t>
  </si>
  <si>
    <t xml:space="preserve">DIEGO NOVAIS DE MELO FONSECA</t>
  </si>
  <si>
    <t xml:space="preserve">REGINALDO FRANCISCO BESSA</t>
  </si>
  <si>
    <t xml:space="preserve">ANDRE WERNER</t>
  </si>
  <si>
    <t xml:space="preserve">WERSAN COMERCIO DE COMBUSTIVEIS LTDA</t>
  </si>
  <si>
    <t xml:space="preserve">RODRIGO DE OLIVEIRA MACHADO</t>
  </si>
  <si>
    <t xml:space="preserve">GEUCIR PEREIRA CALDEIRA</t>
  </si>
  <si>
    <t xml:space="preserve">SUELY ANDREIA LEANDRO DO NASCIMENTO</t>
  </si>
  <si>
    <t xml:space="preserve">ALEX SILVA DE SOUSA</t>
  </si>
  <si>
    <t xml:space="preserve">DIEGO BRITO CORREIA</t>
  </si>
  <si>
    <t xml:space="preserve">SANDRO DE ARAUJO MARRA</t>
  </si>
  <si>
    <t xml:space="preserve">VALDENI NOVAIS DE MELO</t>
  </si>
  <si>
    <t xml:space="preserve">JOSIAS AMOREZE CARDOSO</t>
  </si>
  <si>
    <t xml:space="preserve">2026</t>
  </si>
  <si>
    <t xml:space="preserve">TOTAL terceiros</t>
  </si>
  <si>
    <t xml:space="preserve">04 — MOVIMENTAÇÃO BANCÁRIA BRASIL (Nubank 89083502-4, out/2024–abr/2026) — classificação e IRRF</t>
  </si>
  <si>
    <t xml:space="preserve">Natureza: editar a coluna K (lista suspensa). IRRF apurado = só naturezas tributáveis. Cenários A/B = exposição máxima se a natureza PENDENTE fosse rendimento de fonte BR — NÃO é imposto devido. Vencimento do IRRF assumido na data do crédito [INFERÊNCIA TÉCNICA — confirmar]. Responsável legal pela retenção: a fonte pagadora [INFERÊNCIA TÉCNICA].</t>
  </si>
  <si>
    <t xml:space="preserve">ID</t>
  </si>
  <si>
    <t xml:space="preserve">Data</t>
  </si>
  <si>
    <t xml:space="preserve">Descrição (extrato)</t>
  </si>
  <si>
    <t xml:space="preserve">Valor BRL (+ entrada / − saída)</t>
  </si>
  <si>
    <t xml:space="preserve">Tipo</t>
  </si>
  <si>
    <t xml:space="preserve">Classe_7 (backup)</t>
  </si>
  <si>
    <t xml:space="preserve">Arquivo fonte</t>
  </si>
  <si>
    <t xml:space="preserve">Tratamento proposto</t>
  </si>
  <si>
    <t xml:space="preserve">Natureza (EDITAR)</t>
  </si>
  <si>
    <t xml:space="preserve">Material?</t>
  </si>
  <si>
    <t xml:space="preserve">Base ganho (só GCAP)</t>
  </si>
  <si>
    <t xml:space="preserve">Alíquota IRRF</t>
  </si>
  <si>
    <t xml:space="preserve">Base IRRF (só natureza tributável)</t>
  </si>
  <si>
    <t xml:space="preserve">IRRF apurado</t>
  </si>
  <si>
    <t xml:space="preserve">Cenário A (15%) — só PENDENTE</t>
  </si>
  <si>
    <t xml:space="preserve">Cenário B (25%) — só PENDENTE</t>
  </si>
  <si>
    <t xml:space="preserve">Juros SELIC %</t>
  </si>
  <si>
    <t xml:space="preserve">Multa mora %</t>
  </si>
  <si>
    <t xml:space="preserve">IRRF apurado atualizado</t>
  </si>
  <si>
    <t xml:space="preserve">Cenário A atualizado</t>
  </si>
  <si>
    <t xml:space="preserve">Cenário B atualizado</t>
  </si>
  <si>
    <t xml:space="preserve">Vínculo imóvel</t>
  </si>
  <si>
    <t xml:space="preserve">Transferência recebida pelo Pix | BANCO DAYCOVAL SA REMITTANCE - 62.232.889 | /0001-90 - BCO DAYCOVAL S.A (0707) Agência: 1 | Conta: 1306-6</t>
  </si>
  <si>
    <t xml:space="preserve">BANCO DAYCOVAL SA REMITTANCE</t>
  </si>
  <si>
    <t xml:space="preserve">entrada</t>
  </si>
  <si>
    <t xml:space="preserve">intermediario_remessa</t>
  </si>
  <si>
    <t xml:space="preserve">NU_890835024_01OUT2024_31OUT2024.pdf</t>
  </si>
  <si>
    <t xml:space="preserve">[HIPÓTESE] Remessa do exterior por instituição de câmbio — fonte estrangeira, fora do IRPF de não residente</t>
  </si>
  <si>
    <t xml:space="preserve">RECURSO_PROPRIO_EXTERIOR</t>
  </si>
  <si>
    <t xml:space="preserve">Aplicação RDB</t>
  </si>
  <si>
    <t xml:space="preserve">saida</t>
  </si>
  <si>
    <t xml:space="preserve">RDB</t>
  </si>
  <si>
    <t xml:space="preserve">Aplicação RDB (movimentação interna)</t>
  </si>
  <si>
    <t xml:space="preserve">SAIDA</t>
  </si>
  <si>
    <t xml:space="preserve">Transferência enviada pelo Pix | Vitória Aparecida Carvalho de Barros - •••.947.926- | •• - CAIXA ECONOMICA FEDERAL (0104) Agência: | 108 Conta: 771878672-3</t>
  </si>
  <si>
    <t xml:space="preserve">VITÓRIA APARECIDA CARVALHO DE BARROS</t>
  </si>
  <si>
    <t xml:space="preserve">terceiros</t>
  </si>
  <si>
    <t xml:space="preserve">Débito — não é rendimento</t>
  </si>
  <si>
    <t xml:space="preserve">Transferência recebida pelo Pix | LEONARDO CARVALHO BARROS - •••.421.456-•• - | BCO DO BRASIL S.A. (0001) Agência: 25 Conta: | 510042852-6</t>
  </si>
  <si>
    <t xml:space="preserve">PENDENTE — DOCUMENTO NECESSÁRIO: natureza não comprovada (contrato, recibo, escritura, comprovante)</t>
  </si>
  <si>
    <t xml:space="preserve">PENDENTE</t>
  </si>
  <si>
    <t xml:space="preserve">Aplicação RDB | 89083502-4</t>
  </si>
  <si>
    <t xml:space="preserve">89083502-4</t>
  </si>
  <si>
    <t xml:space="preserve">Transferência recebida pelo Pix | FELIPE DE MELO RODRIGUES - •••.464.288-•• - ITAÚ | UNIBANCO S.A. (0341) Agência: 3247 Conta: | 40302-9</t>
  </si>
  <si>
    <t xml:space="preserve">NU_890835024_01NOV2024_30NOV2024.pdf</t>
  </si>
  <si>
    <t xml:space="preserve">Transferência recebida pelo Pix | Felipe De Melo Rodrigues - •••.464.288-•• - NEON | PAGAMENTOS S.A. IP (0536) Agência: 655 Conta: | 23278478-7</t>
  </si>
  <si>
    <t xml:space="preserve">Transferência recebida pelo Pix | FELIPE DE MELO RODRIGUES - •••.464.288-•• - BCO | C6 S.A. (0336) Agência: 1 Conta: 15360860-9</t>
  </si>
  <si>
    <t xml:space="preserve">Transferência enviada pelo Pix | Jasiel Greggio de Moraes - •••.117.228-•• - BCO DO | BRASIL S.A. (0001) Agência: 4094 Conta: 20226-6</t>
  </si>
  <si>
    <t xml:space="preserve">JASIEL GREGGIO DE MORAES</t>
  </si>
  <si>
    <t xml:space="preserve">Transferência recebida pelo Pix | Diego Novais De Melo Fonseca - •••.183.549-•• - | COOP SICREDI VALE DO PIQUIRI Agência: 726 | Conta: 46120-6</t>
  </si>
  <si>
    <t xml:space="preserve">Transferência enviada pelo Pix | Leonardo Carvalho de Barros - •••.421.456-•• - | MERCADO PAGO IP LTDA. (0323) Agência: 1 Conta: | 8039020795-0</t>
  </si>
  <si>
    <t xml:space="preserve">LEONARDO CARVALHO DE BARROS</t>
  </si>
  <si>
    <t xml:space="preserve">NU_890835024_01DEZ2024_31DEZ2024.pdf</t>
  </si>
  <si>
    <t xml:space="preserve">Transferência recebida pelo Pix | LEONARDO CARVALHO BARROS - •••.421.456-•• - | BCO DO BRASIL S.A. (0001) Agência: 25 Conta: | 42852-3</t>
  </si>
  <si>
    <t xml:space="preserve">Transferência enviada pelo Pix | Mauricio Folco - •••.795.155-•• - BCO BRADESCO S. | A. (0237) Agência: 3603 Conta: 3859-8</t>
  </si>
  <si>
    <t xml:space="preserve">MAURICIO FOLCO</t>
  </si>
  <si>
    <t xml:space="preserve">Transferência enviada pelo Pix | Elizeu Ferreira Martins - •••.850.128-•• - BCO | SANTANDER (BRASIL) S.A. (0033) Agência: 348 | Conta: 1030089-0 | 89083502-4</t>
  </si>
  <si>
    <t xml:space="preserve">ELIZEU FERREIRA MARTINS</t>
  </si>
  <si>
    <t xml:space="preserve">Transferência enviada pelo Pix | Angela Carla Novais de Melo - •••.462.348-•• - BCO | DO BRASIL S.A. (0001) Agência: 583 Conta: | 46208-0</t>
  </si>
  <si>
    <t xml:space="preserve">ANGELA CARLA NOVAIS DE MELO</t>
  </si>
  <si>
    <t xml:space="preserve">Estorno - Transferência | enviada pelo Vitória Aparecida Carvalho de Barros - •••.947.926- | 108 Conta: 771878672-3</t>
  </si>
  <si>
    <t xml:space="preserve">estorno</t>
  </si>
  <si>
    <t xml:space="preserve">[FATO CONFIRMADO] Estorno — não é renda</t>
  </si>
  <si>
    <t xml:space="preserve">REEMBOLSO_ESTORNO</t>
  </si>
  <si>
    <t xml:space="preserve">Transferência enviada pelo Pix | Angela Carla Novais de Melo - •••.462.348-•• - BCO | DO BRASIL S.A. (0001) Agência: 583 Conta: 46208- | 0 | 89083502-4</t>
  </si>
  <si>
    <t xml:space="preserve">Transferência enviada pelo Pix | Ingrid Milena de Melo Silva - •••.602.828-•• - NU | PAGAMENTOS - IP (0260) Agência: 1 Conta: | 54097642-9</t>
  </si>
  <si>
    <t xml:space="preserve">INGRID MILENA DE MELO SILVA</t>
  </si>
  <si>
    <t xml:space="preserve">01.pdf</t>
  </si>
  <si>
    <t xml:space="preserve">Transferência enviada pelo Pix | Angela Carla Novais de Melo - •••.462.348-•• - BCO | DO BRASIL S.A. (0001) Agência: 583 Conta: 46208- | 0</t>
  </si>
  <si>
    <t xml:space="preserve">Transferência enviada pelo Pix | Vitória Aparecida Carvalho de Barros - •••.947.926- | •• - CAIXA ECONOMICA FEDERAL (0104) Agência: | 108 Conta: 771878672-3 | 89083502-4</t>
  </si>
  <si>
    <t xml:space="preserve">Transferência recebida pelo Pix | JOSIAS AMOREZE CARDOSO - •••.453.329-•• - BCO | C6 S.A. (0336) Agência: 1 Conta: 27821923-3</t>
  </si>
  <si>
    <t xml:space="preserve">Transferência enviada pelo Pix | BRUNA LUIZA DE OLIVEIRA RIBEIRO BARROS - •••. | 273.828-•• - CAIXA ECONOMICA FEDERAL (0104) | Agência: 3994 Conta: 1288000000751417748-6</t>
  </si>
  <si>
    <t xml:space="preserve">BRUNA LUIZA DE OLIVEIRA RIBEIRO BARROS</t>
  </si>
  <si>
    <t xml:space="preserve">Transferência recebida pelo Pix | Alex Silva de Sousa - •••.209.758-•• - MERCADO | PAGO IP LTDA. (0323) Agência: 1 Conta: | 2593991503-2</t>
  </si>
  <si>
    <t xml:space="preserve">Transferência enviada pelo Pix | Marcia Novais de Melo Barros - •••.515.229-•• - | Nubank (0260) Agência: 1 Conta: 368339173-1</t>
  </si>
  <si>
    <t xml:space="preserve">MARCIA NOVAIS DE MELO BARROS</t>
  </si>
  <si>
    <t xml:space="preserve">conta_conjuge</t>
  </si>
  <si>
    <t xml:space="preserve">Transferência enviada pelo Pix | Marcia Novais de Melo Barros - •••.515.229-•• - | 89083502-4 | Nubank (0260) Agência: 1 Conta: 368339173-1</t>
  </si>
  <si>
    <t xml:space="preserve">Transferência Recebida | REGINALDO FRANCISCO BESSA - •••.715.189-•• - | BCO COOPERATIVO SICREDI S.A. (0748) Agência: | 748 Conta: 4055468-8</t>
  </si>
  <si>
    <t xml:space="preserve">02.pdf</t>
  </si>
  <si>
    <t xml:space="preserve">Transferência enviada pelo Pix | PRISCILA SILVA DAS NEVES - •••.900.579-•• - CAIXA | ECONOMICA FEDERAL (0104) Agência: 726 Conta: | 1288000000813482962-5</t>
  </si>
  <si>
    <t xml:space="preserve">PRISCILA SILVA DAS NEVES</t>
  </si>
  <si>
    <t xml:space="preserve">Transferência enviada pelo Pix | MARCIA BARBOSA DE JESUS - •••.662.539-•• - COOP | SICREDI VALE DO PIQUIRI Agência: 726 Conta: | 14921-2</t>
  </si>
  <si>
    <t xml:space="preserve">MARCIA BARBOSA DE JESUS</t>
  </si>
  <si>
    <t xml:space="preserve">Transferência enviada pelo Pix | Juliana Rizzo da Rocha Loures Versan - •••.309.789- | •• - COOP SICREDI VALE DO PIQUIRI Agência: 726 | Conta: 80507-3 | 89083502-4</t>
  </si>
  <si>
    <t xml:space="preserve">JULIANA RIZZO DA ROCHA LOURES VERSAN</t>
  </si>
  <si>
    <t xml:space="preserve">Estorno - Transferência | enviada pelo Madeireira Malagutti Ltda - Me - 15.343.647/0001- | Conta: 57664-6</t>
  </si>
  <si>
    <t xml:space="preserve">MADEIREIRA MALAGUTTI LTDA</t>
  </si>
  <si>
    <t xml:space="preserve">Transferência enviada pelo Pix | Madeireira Malagutti Ltda - Me - 15.343.647/0001- | 93 - BCO BRADESCO S.A. (0237) Agência: 202 | Conta: 57664-6</t>
  </si>
  <si>
    <t xml:space="preserve">Transferência enviada pelo Pix | MADEIREIRA MALAGUTTI LTDA - ME - 15.343.647 | /0001-93 - CC SICOOB METROPOLITANO Agência: | 4340 Conta: 29955-3</t>
  </si>
  <si>
    <t xml:space="preserve">Transferência enviada pelo Pix | Luiz Carlos Pacheco da Silva - •••.191.379-•• - | PICPAY (0380) Agência: 1 Conta: 55348070-7</t>
  </si>
  <si>
    <t xml:space="preserve">LUIZ CARLOS PACHECO DA SILVA</t>
  </si>
  <si>
    <t xml:space="preserve">Transferência enviada pelo Pix | Valter Baldoino Ribeiro - •••.126.749-•• - MERCADO | 89083502-4 | PAGO IP LTDA. (0323) Agência: 1 Conta: | 2962891382-2</t>
  </si>
  <si>
    <t xml:space="preserve">VALTER BALDOINO RIBEIRO</t>
  </si>
  <si>
    <t xml:space="preserve">Transferência enviada pelo Pix | Valdeni Novais de Melo - •••.252.208-•• - ITAÚ | UNIBANCO S.A. (0341) Agência: 844 Conta: 7281-9</t>
  </si>
  <si>
    <t xml:space="preserve">Transferência enviada pelo Pix | Deposito Japura - 81.718.769/0001-41 - COOP | SICREDI VALE DO PIQUIRI Agência: 726 Conta: | 12946-0</t>
  </si>
  <si>
    <t xml:space="preserve">DEPOSITO JAPURA</t>
  </si>
  <si>
    <t xml:space="preserve">Transferência enviada pelo Pix | Rodrigo Bernardo 03738847294 - 29.220.346 | Conta: 636606297-2</t>
  </si>
  <si>
    <t xml:space="preserve">RODRIGO BERNARDO 03738847294</t>
  </si>
  <si>
    <t xml:space="preserve">Transferência recebida pelo Pix | Geucir Pereira Caldeira - •••.845.731-•• - COOP | 89083502-4 | SICREDI UNIVALES MT/RO Agência: 821 Conta: | 39773-3</t>
  </si>
  <si>
    <t xml:space="preserve">Transferência enviada pelo Pix | Diego Novais de Melo Fonseca - •••.183.549-•• - | COOP SICREDI VALE DO PIQUIRI Agência: 726 | Conta: 46120-6</t>
  </si>
  <si>
    <t xml:space="preserve">Transferência enviada pelo Pix | Cruzeiro &amp;Amp; Cia Ltda. - 08.718.423/0001-53 - | BCO DO BRASIL S.A. (0001) Agência: 847 Conta: | 31352-1</t>
  </si>
  <si>
    <t xml:space="preserve">CRUZEIRO &amp;AMP; CIA LTDA.</t>
  </si>
  <si>
    <t xml:space="preserve">Transferência enviada pelo Pix | Cruzeiro &amp;Amp; Cia Ltda. - 08.718.423/0001-53 - | BCO DO BRASIL S.A. (0001) Agência: 847 Conta: | 31352-1 | 351.996-•• - BANCO INTER (0077) Agência: 1</t>
  </si>
  <si>
    <t xml:space="preserve">Transferência enviada pelo Pix | Diego Novais de Melo Fonseca - •••.183.549-•• - | COOP SICREDI VALE DO PIQUIRI Agência: 726 | Conta: 46120-6 | 89083502-4</t>
  </si>
  <si>
    <t xml:space="preserve">Resgate RDB</t>
  </si>
  <si>
    <t xml:space="preserve">06.pdf</t>
  </si>
  <si>
    <t xml:space="preserve">[FATO CONFIRMADO] Resgate RDB — movimentação interna</t>
  </si>
  <si>
    <t xml:space="preserve">RDB_MOVIMENTACAO</t>
  </si>
  <si>
    <t xml:space="preserve">Transferência enviada pelo Pix | DIEGO NOVAIS DE MELO FONSECA - •••.183.549-•• | - COOP SICREDI VALE DO PIQUIRI Agência: 726 | Conta: 46120-6</t>
  </si>
  <si>
    <t xml:space="preserve">07.pdf</t>
  </si>
  <si>
    <t xml:space="preserve">Transferência recebida pelo Pix | BANCO DAYCOVAL SA REMITTANCE - 62.232.889 | /0001-90 - BCO DAYCOVAL S.A (0707) Agência: 1 | Conta: 1306-6 | 89083502-4</t>
  </si>
  <si>
    <t xml:space="preserve">Transferência recebida pelo Pix | Felipe De Melo Rodrigues - •••.464.288-•• - NEON | PAGAMENTOS S.A. IP (0536) Agência: 655 Conta: | 89083502-4 | 23278478-7</t>
  </si>
  <si>
    <t xml:space="preserve">Transferência enviada pelo Pix | Leonardo Carvalho de Barros - •••.421.456-•• - NU | PAGAMENTOS - IP (0260) Agência: 1 Conta: | 89083502-4 | 5411560-0</t>
  </si>
  <si>
    <t xml:space="preserve">Transferência enviada pelo Pix | A6 Porto Belo Ii Construcoes e Incorporacoes | Imobiliarias Spe Ltda - 55.403.732/0001-14 - CAIXA | ECONOMICA FEDERAL (0104) Agência: 2515 Conta: | 1292000000578091459-8</t>
  </si>
  <si>
    <t xml:space="preserve">A6 PORTO BELO II CONSTRUCOES E INCORPORACOES</t>
  </si>
  <si>
    <t xml:space="preserve">Transferência enviada pelo Pix | Adelio Joao Soares - •••.752.926-•• - BCO DO BRASIL | S.A. (0001) Agência: 25 Conta: 28854-3</t>
  </si>
  <si>
    <t xml:space="preserve">ADELIO JOAO SOARES</t>
  </si>
  <si>
    <t xml:space="preserve">Transferência enviada pelo Pix | N1 PORTO BELO EMPREENDIMENTOS - 43.796.362 | /0001-43 - CCLAA NOVA TRENTO Agência: 3242 | Conta: 72840-3</t>
  </si>
  <si>
    <t xml:space="preserve">N1 PORTO BELO EMPREENDIMENTOS</t>
  </si>
  <si>
    <t xml:space="preserve">Pagamento — N1 Porto Belo / Vivapark [INFERÊNCIA — contrato indica conta VOKKAN]</t>
  </si>
  <si>
    <t xml:space="preserve">N1 APTO 303</t>
  </si>
  <si>
    <t xml:space="preserve">Transferência recebida pelo Pix | WERSAN COMERCIO DE COMBUSTIVEIS LTDA - | 17.625.257/0001-31 - BCO SANTANDER (BRASIL) S. | 89083502-4 | A. (0033) Agência: 4278 Conta: 13001807-7</t>
  </si>
  <si>
    <t xml:space="preserve">Transferência enviada pelo Pix | Rofran Construtora Ltda - 51.819.924/0001-55 - | COOP SICREDI VALE LITORAL SC Agência: 2606 | Conta: 63110-5</t>
  </si>
  <si>
    <t xml:space="preserve">ROFRAN CONSTRUTORA LTDA</t>
  </si>
  <si>
    <t xml:space="preserve">Pagamento — Loft 605 Blue Ocean (Rofran)</t>
  </si>
  <si>
    <t xml:space="preserve">BLUE OCEAN 605</t>
  </si>
  <si>
    <t xml:space="preserve">Transferência recebida pelo Pix | ANDRE WERNER - •••.744.728-•• - ITAÚ UNIBANCO | S.A. (0341) Agência: 7012 Conta: 2282-3</t>
  </si>
  <si>
    <t xml:space="preserve">Transferência enviada pelo Pix | N1 PORTO BELO EMPREENDIMENTOS - 43.796.362 | /0001-43 - CCLAA NOVA TRENTO Agência: 3242 | Conta: 72840-3 | 89083502-4</t>
  </si>
  <si>
    <t xml:space="preserve">08.pdf</t>
  </si>
  <si>
    <t xml:space="preserve">Transferência Recebida | Marcia Novais de Melo Barros - •••.515.229-•• - NU | PAGAMENTOS - IP (0260) Agência: 1 Conta: | 368339173-1 | 89083502-4</t>
  </si>
  <si>
    <t xml:space="preserve">[HIPÓTESE] Transferência da cônjuge — não é renda; comprovar a origem dos recursos dela</t>
  </si>
  <si>
    <t xml:space="preserve">TRANSF_CONJUGE</t>
  </si>
  <si>
    <t xml:space="preserve">Transferência Recebida | Marcia Novais de Melo Barros - •••.515.229-•• - NU | PAGAMENTOS - IP (0260) Agência: 1 Conta: | 368339173-1</t>
  </si>
  <si>
    <t xml:space="preserve">Transferência recebida pelo Pix | WERSAN COMERCIO DE COMBUSTIVEIS LTDA - | 17.625.257/0001-31 - BCO SANTANDER (BRASIL) S. | A. (0033) Agência: 4278 Conta: 13001807-7</t>
  </si>
  <si>
    <t xml:space="preserve">Transferência Recebida | Rodrigo de Oliveira Machado - •••.248.649-•• - NU | 89083502-4 | PAGAMENTOS - IP (0260) Agência: 1 Conta: | 79449194-5</t>
  </si>
  <si>
    <t xml:space="preserve">Transferência recebida pelo Pix | RODRIGO DE OLIVEIRA MACHADO - •••.248.649-•• - | BCO BRADESCO S.A. (0237) Agência: 382 Conta: | 1003890-1</t>
  </si>
  <si>
    <t xml:space="preserve">Transferência recebida pelo Pix | ANDRE WERNER - •••.744.728-•• - ITAÚ UNIBANCO S. | A. (0341) Agência: 7012 Conta: 2282-3</t>
  </si>
  <si>
    <t xml:space="preserve">Transferência enviada pelo Pix | ROFRAN CONSTRUTORA LTDA - 51.819.924/0001- | 55 - COOP SICREDI VALE LITORAL SC Agência: | 2606 Conta: 63110-5</t>
  </si>
  <si>
    <t xml:space="preserve">Transferência enviada pelo Pix | ROFRAN CONSTRUTORA LTDA - 51.819.924/0001- | 89083502-4 | 55 - COOP SICREDI VALE LITORAL SC Agência: | 2606 Conta: 63110-5</t>
  </si>
  <si>
    <t xml:space="preserve">Transferência enviada pelo Pix | PEDRO DONIZETE NERY - •••.731.896-•• - BCO | BRADESCO S.A. (0237) Agência: 1792 Conta: | 1000321-0</t>
  </si>
  <si>
    <t xml:space="preserve">PEDRO DONIZETE NERY</t>
  </si>
  <si>
    <t xml:space="preserve">Transferência enviada pelo Pix | Sandro de Araujo Marra - •••.482.608-•• - WISE | BRASIL IP LTDA. Agência: 1 Conta: 114032-0</t>
  </si>
  <si>
    <t xml:space="preserve">Transferência enviada pelo Pix | OMNI NEGOCIOS DIGITAIS - 31.311.204/0001-77 - | BANCO INTER (0077) Agência: 1 Conta: 28521262-1 | 89083502-4</t>
  </si>
  <si>
    <t xml:space="preserve">OMNI NEGOCIOS DIGITAIS</t>
  </si>
  <si>
    <t xml:space="preserve">Transferência enviada pelo Pix | CELSO GAMBORGI BRANCO - •••.033.529-•• - | COOP SICREDI VALE DO PIQUIRI Agência: 726 | Conta: 68715-1</t>
  </si>
  <si>
    <t xml:space="preserve">CELSO GAMBORGI BRANCO</t>
  </si>
  <si>
    <t xml:space="preserve">09.pdf</t>
  </si>
  <si>
    <t xml:space="preserve">Transferência recebida pelo Pix | BANCO DAYCOVAL - 62.232.889/0001-90 - BCO | DAYCOVAL S.A (0707) Agência: 1 Conta: 1306-6</t>
  </si>
  <si>
    <t xml:space="preserve">BANCO DAYCOVAL</t>
  </si>
  <si>
    <t xml:space="preserve">Transferência recebida pelo Pix | TAPTAP - 55.177.686/0001-82 - BCO BS2 S.A. | (0218) Agência: 1 Conta: 1163660-2</t>
  </si>
  <si>
    <t xml:space="preserve">TAPTAP</t>
  </si>
  <si>
    <t xml:space="preserve">Transferência recebida pelo Pix | Felipe De Melo Rodrigues - •••.464.288-•• - NEON | PAGAMENTOS S.A. IP (0536) Agência: 655 Conta: | 23278478-7 | 89083502-4</t>
  </si>
  <si>
    <t xml:space="preserve">Transferência recebida pelo Pix | Felipe De Melo Rodrigues - •••.464.288-•• - NEON | 89083502-4 | PAGAMENTOS S.A. IP (0536) Agência: 655 Conta: | 23278478-7</t>
  </si>
  <si>
    <t xml:space="preserve">Transferência recebida pelo Pix | REMITLY CORRETORA DE CAMBIO LTDA - | 17.635.177/0001-67 - Banco J. P. Morgan S. A. | (0376) Agência: 1 Conta: 105520-9</t>
  </si>
  <si>
    <t xml:space="preserve">REMITLY CORRETORA DE CAMBIO LTDA</t>
  </si>
  <si>
    <t xml:space="preserve">Transferência recebida pelo Pix | DIEGO BRITO CORREIA - •••.361.873-•• - ITAÚ | UNIBANCO S.A. (0341) Agência: 1137 Conta: | 83020-2</t>
  </si>
  <si>
    <t xml:space="preserve">10.pdf</t>
  </si>
  <si>
    <t xml:space="preserve">Transferência recebida pelo Pix | REMITLY CORRETORA DE CAMBIO LTDA - 17.635.177 | /0001-67 - Banco J. P. Morgan S. A. (0376) Agência: | 1 Conta: 105520-9</t>
  </si>
  <si>
    <t xml:space="preserve">Transferência enviada pelo Pix | Valter Baldoino Ribeiro - •••.126.749-•• - MERCADO | PAGO IP LTDA. (0323) Agência: 1 Conta: | 2962891382-2</t>
  </si>
  <si>
    <t xml:space="preserve">Transferência enviada pelo Pix | CONGREGACAO CRISTA NO BRASIL - 76.303.700 | /0001-17 - CAIXA ECONOMICA FEDERAL (0104) | Agência: 956 Conta: 1292000000577566683-2</t>
  </si>
  <si>
    <t xml:space="preserve">CONGREGACAO CRISTA NO BRASIL</t>
  </si>
  <si>
    <t xml:space="preserve">Transferência recebida pelo Pix | VALDENI NOVAIS DE MELO - •••.252.208-•• - ITAÚ | UNIBANCO S.A. (0341) Agência: 844 Conta: 7281-9</t>
  </si>
  <si>
    <t xml:space="preserve">Transferência recebida pelo Pix | Suely Andreia Leandro Do Nascimento - •••. | 689.968-•• - COOP SICREDI DEXIS Agência: 718 | Conta: 65385-2</t>
  </si>
  <si>
    <t xml:space="preserve">11.pdf</t>
  </si>
  <si>
    <t xml:space="preserve">Transferência enviada pelo Pix | KATIA PRISCILA DA ROSA DE SOUZA | (Transferência enviada)</t>
  </si>
  <si>
    <t xml:space="preserve">KATIA PRISCILA DA ROSA DE SOUZA</t>
  </si>
  <si>
    <t xml:space="preserve">Transferência recebida pelo Pix | REMITLY CORRETORA DE CAMBIO LTDA - | 89083502-4 | 17.635.177/0001-67 - Banco J. P. Morgan S. A. | (0376) Agência: 1 Conta: 105520-9</t>
  </si>
  <si>
    <t xml:space="preserve">Transferência recebida pelo Pix | Sandro de Araujo Marra - •••.482.608-•• - WISE | BRASIL IP LTDA. Agência: 1 Conta: 114032-0</t>
  </si>
  <si>
    <t xml:space="preserve">12.pdf</t>
  </si>
  <si>
    <t xml:space="preserve">Transferência enviada pelo Pix | JOAO FELIPE AGUIAR CUNHA (Transferência | enviada)</t>
  </si>
  <si>
    <t xml:space="preserve">JOAO FELIPE AGUIAR CUNHA (TRANSFERÊNCIA</t>
  </si>
  <si>
    <t xml:space="preserve">NU_890835024_01JAN2026_31JAN2026.pdf</t>
  </si>
  <si>
    <t xml:space="preserve">NU_890835024_01FEV2026_28FEV2026.pdf</t>
  </si>
  <si>
    <t xml:space="preserve">NU_890835024_01ABR2026_30ABR2026.pdf</t>
  </si>
  <si>
    <t xml:space="preserve">Transferência recebida pelo Pix | LEONARDO CARVALHO BARROS - •••.421.456-•• - | BCO DO BRASIL S.A. (0001) Agência: 25 Conta: | 510042852-6 | 89083502-4</t>
  </si>
  <si>
    <t xml:space="preserve">Transferência enviada pelo Pix | RENALDO FARIAS CHAGAS - •••.292.369-•• - COOP | SICREDI NOSSA TERRA PR/SP Agência: 731 Conta: | 27294-8</t>
  </si>
  <si>
    <t xml:space="preserve">RENALDO FARIAS CHAGAS</t>
  </si>
  <si>
    <t xml:space="preserve">Transferência enviada pelo Pix | Elizeu Goncalves Pereira (Transferência enviada)</t>
  </si>
  <si>
    <t xml:space="preserve">ELIZEU GONCALVES PEREIRA (TRANSFERÊNCIA ENVIADA)</t>
  </si>
  <si>
    <t xml:space="preserve">TOTAIS</t>
  </si>
  <si>
    <t xml:space="preserve">Entradas de terceiros com natureza PENDENTE</t>
  </si>
  <si>
    <t xml:space="preserve">Qtde. de entradas PENDENTES materiais (≥ materialidade)</t>
  </si>
  <si>
    <t xml:space="preserve">05 — RENDIMENTOS E TRIBUTOS NOS EUA POR ANO (valores em US$)</t>
  </si>
  <si>
    <t xml:space="preserve">Somente o imposto de renda FEDERAL é candidato a crédito no BR (reciprocidade — ADI SRF 28/2000). SE tax (previdência) e CT state tax: não creditáveis [INFERÊNCIA TÉCNICA — confirmar na fonte oficial].</t>
  </si>
  <si>
    <t xml:space="preserve">Filing status</t>
  </si>
  <si>
    <t xml:space="preserve">Rendimento / formulário</t>
  </si>
  <si>
    <t xml:space="preserve">Receita bruta / wages</t>
  </si>
  <si>
    <t xml:space="preserve">Lucro líquido / K-1</t>
  </si>
  <si>
    <t xml:space="preserve">AGI (1040 l.11)</t>
  </si>
  <si>
    <t xml:space="preserve">Federal income tax (após créditos)</t>
  </si>
  <si>
    <t xml:space="preserve">SE tax (previdência)</t>
  </si>
  <si>
    <t xml:space="preserve">Total federal tax</t>
  </si>
  <si>
    <t xml:space="preserve">Pagamentos / retenções</t>
  </si>
  <si>
    <t xml:space="preserve">Saldo devedor declarado</t>
  </si>
  <si>
    <t xml:space="preserve">CT state tax</t>
  </si>
  <si>
    <t xml:space="preserve">Fed tax elegível a crédito BR (US$)</t>
  </si>
  <si>
    <t xml:space="preserve">Fonte (linha do formulário)</t>
  </si>
  <si>
    <t xml:space="preserve">MFJ</t>
  </si>
  <si>
    <t xml:space="preserve">1040/2018 l.6 = 25.628; l.11 tax 164; l.12 CTC 164 → l.13 = 0; CT-1040 l.55 = 0 (OCR 2018_US_TAX.md)</t>
  </si>
  <si>
    <t xml:space="preserve">HOH/MFJ (OCR ilegível)</t>
  </si>
  <si>
    <t xml:space="preserve">1040/2019 l.7b = 10.000; l.15 SE = 1.413; l.23 owed 1.413; CT AGI 9.293 (OCR 2019_US_TAX.md)</t>
  </si>
  <si>
    <t xml:space="preserve">Sch C l.1 = 30.152; Sch SE l.3 = 2.252; l.24 = 318 (OCR 2020_2021_US_TAX.md)</t>
  </si>
  <si>
    <t xml:space="preserve">Fase 2 (OCR 2020_2021_US_TAX.md)</t>
  </si>
  <si>
    <t xml:space="preserve">1040/2022 l.8 = 10.823; l.11 = 10.058; l.15 taxable = 0 → income tax 0; l.23 SE = 1.529 (OCR 2022_US_TAX.md)</t>
  </si>
  <si>
    <t xml:space="preserve">Sch E l.32 = 75.383; SE = 10.651; l.37 owed = 15.480. Linhas 22/24 ilegíveis: fed income tax = 15.480 − 10.651 [INFERÊNCIA — pode conter multa l.38]</t>
  </si>
  <si>
    <t xml:space="preserve">MFJ (José + Márcia)</t>
  </si>
  <si>
    <t xml:space="preserve">1040/2024 l.9 = 82.153; l.11 = 81.341; l.22 = 5.039; l.23 = 1.623; l.24 = 6.662; l.33 = 0; l.37 = 6.963 (inclui multa l.38 = 301). Sch C 11.482; Sch E 70.671</t>
  </si>
  <si>
    <t xml:space="preserve">PENDENTE — DOCUMENTO NECESSÁRIO (1040/2025)</t>
  </si>
  <si>
    <t xml:space="preserve">Não localizado na pasta</t>
  </si>
  <si>
    <t xml:space="preserve">06 — COMPENSAÇÃO DO IMPOSTO PAGO NOS EUA (somente anos de residência)</t>
  </si>
  <si>
    <t xml:space="preserve">AC 2018 — item</t>
  </si>
  <si>
    <t xml:space="preserve">Valor</t>
  </si>
  <si>
    <t xml:space="preserve">Fonte / regra</t>
  </si>
  <si>
    <t xml:space="preserve">Imposto de renda federal EUA efetivamente pago (US$)</t>
  </si>
  <si>
    <t xml:space="preserve">1040/2018 l.13 = 0 (CTC 164 zerou o imposto de 164) [FATO CONFIRMADO — OCR]</t>
  </si>
  <si>
    <t xml:space="preserve">Imposto estadual CT (US$) — não creditável</t>
  </si>
  <si>
    <t xml:space="preserve">ADI SRF 28/2000 — reciprocidade só p/ imposto federal [confirmar na fonte oficial]</t>
  </si>
  <si>
    <t xml:space="preserve">Taxa de conversão do imposto pago (EDITAR)</t>
  </si>
  <si>
    <t xml:space="preserve">[HIPÓTESE] Dólar compra 28/12/2018 (BCB SGS 10813). Imposto = 0, a taxa não altera o resultado</t>
  </si>
  <si>
    <t xml:space="preserve">Imposto pago nos EUA convertido (R$)</t>
  </si>
  <si>
    <t xml:space="preserve">IRPF BR total do ano (R$)</t>
  </si>
  <si>
    <t xml:space="preserve">07</t>
  </si>
  <si>
    <t xml:space="preserve">Parcela do IRPF BR atribuível à renda EUA (R$)</t>
  </si>
  <si>
    <t xml:space="preserve">Limite: imposto BR proporcional ao mesmo rendimento (RIR/2018 — confirmar artigo)</t>
  </si>
  <si>
    <t xml:space="preserve">Exige comprovação de pagamento efetivo?</t>
  </si>
  <si>
    <t xml:space="preserve">SIM</t>
  </si>
  <si>
    <t xml:space="preserve">IRS Account Transcript 2018 — PENDENTE (baixa prioridade: imposto = 0)</t>
  </si>
  <si>
    <t xml:space="preserve">Documentação disponível?</t>
  </si>
  <si>
    <t xml:space="preserve">Só o 1040 (OCR)</t>
  </si>
  <si>
    <t xml:space="preserve">CRÉDITO APROVEITÁVEL AC 2018 (R$)</t>
  </si>
  <si>
    <t xml:space="preserve">MIN(imposto pago convertido; limite)</t>
  </si>
  <si>
    <t xml:space="preserve">AC 2019 (01–24/01) — crédito</t>
  </si>
  <si>
    <t xml:space="preserve">Sem IRPF BR no período → sem crédito</t>
  </si>
  <si>
    <t xml:space="preserve">AC 2020 a 2025 — crédito</t>
  </si>
  <si>
    <t xml:space="preserve">Não residente: renda EUA não tributada no BR → compensação sem objeto</t>
  </si>
  <si>
    <t xml:space="preserve">SE tax 2019–2024 (US$) — não creditável</t>
  </si>
  <si>
    <t xml:space="preserve">Contribuição previdenciária (Social Security/Medicare), não imposto de renda</t>
  </si>
  <si>
    <t xml:space="preserve">Conclusão [INFERÊNCIA TÉCNICA]: o crédito é nulo — no único ano integral de residência (2018) o imposto federal pago foi zero. Não compensa custo de obtenção de transcripts para fins de crédito.</t>
  </si>
  <si>
    <t xml:space="preserve">07 — APURAÇÃO DO IRPF/IRRF BRASIL POR ANO E PERÍODO</t>
  </si>
  <si>
    <t xml:space="preserve">BLOCO A — AC 2018 — RESIDENTE (rendimentos mundiais). INFORMATIVO: DECAÍDO — ver 02/08.</t>
  </si>
  <si>
    <t xml:space="preserve">Mês de recebimento</t>
  </si>
  <si>
    <t xml:space="preserve">US$ recebido (EDITAR)</t>
  </si>
  <si>
    <t xml:space="preserve">Data PTAX (regra)</t>
  </si>
  <si>
    <t xml:space="preserve">Dólar compra (BCB)</t>
  </si>
  <si>
    <t xml:space="preserve">Rendimento R$</t>
  </si>
  <si>
    <t xml:space="preserve">IR mensal carnê-leão</t>
  </si>
  <si>
    <t xml:space="preserve">Observação</t>
  </si>
  <si>
    <t xml:space="preserve">Jan/2018</t>
  </si>
  <si>
    <t xml:space="preserve">[HIPÓTESE] W-2 anual ÷ 12 — substituir pelos holerites/paystubs reais</t>
  </si>
  <si>
    <t xml:space="preserve">Fev/2018</t>
  </si>
  <si>
    <t xml:space="preserve">Mar/2018</t>
  </si>
  <si>
    <t xml:space="preserve">Abr/2018</t>
  </si>
  <si>
    <t xml:space="preserve">Mai/2018</t>
  </si>
  <si>
    <t xml:space="preserve">Jun/2018</t>
  </si>
  <si>
    <t xml:space="preserve">Jul/2018</t>
  </si>
  <si>
    <t xml:space="preserve">Ago/2018</t>
  </si>
  <si>
    <t xml:space="preserve">Set/2018</t>
  </si>
  <si>
    <t xml:space="preserve">Out/2018</t>
  </si>
  <si>
    <t xml:space="preserve">Nov/2018</t>
  </si>
  <si>
    <t xml:space="preserve">Dez/2018</t>
  </si>
  <si>
    <t xml:space="preserve">TOTAL AC 2018</t>
  </si>
  <si>
    <t xml:space="preserve">Dólar compra BCB, último dia útil da 1ª quinzena do mês anterior ao recebimento (BCB SGS 10813) [INFERÊNCIA TÉCNICA sobre a regra — RIR/2018; confirmar artigo na fonte oficial].</t>
  </si>
  <si>
    <t xml:space="preserve">Ajuste anual AC 2018</t>
  </si>
  <si>
    <t xml:space="preserve">Valor (R$)</t>
  </si>
  <si>
    <t xml:space="preserve">Fórmula / fonte</t>
  </si>
  <si>
    <t xml:space="preserve">Rendimentos do exterior (R$)</t>
  </si>
  <si>
    <t xml:space="preserve">Soma mensal acima</t>
  </si>
  <si>
    <t xml:space="preserve">Rendimentos de fonte BR 01–24/01/2018 (EDITAR)</t>
  </si>
  <si>
    <t xml:space="preserve">PENDENTE — DOCUMENTO NECESSÁRIO (P-01). Zero por ausência de prova, não por confirmação.</t>
  </si>
  <si>
    <t xml:space="preserve">Total rendimentos tributáveis</t>
  </si>
  <si>
    <t xml:space="preserve">Obrigado a declarar?</t>
  </si>
  <si>
    <t xml:space="preserve">Limite R$ 28.559,70</t>
  </si>
  <si>
    <t xml:space="preserve">Desconto simplificado</t>
  </si>
  <si>
    <t xml:space="preserve">20% limitado a R$ 16.754,34</t>
  </si>
  <si>
    <t xml:space="preserve">Base — modelo simplificado</t>
  </si>
  <si>
    <t xml:space="preserve">Imposto — modelo simplificado</t>
  </si>
  <si>
    <t xml:space="preserve">Tabela anual</t>
  </si>
  <si>
    <t xml:space="preserve">Dedução dependentes (modelo completo)</t>
  </si>
  <si>
    <t xml:space="preserve">[HIPÓTESE] 3 dependentes</t>
  </si>
  <si>
    <t xml:space="preserve">Base — modelo completo</t>
  </si>
  <si>
    <t xml:space="preserve">Sem outras deduções comprovadas</t>
  </si>
  <si>
    <t xml:space="preserve">Imposto — modelo completo</t>
  </si>
  <si>
    <t xml:space="preserve">IRPF devido (menor dos modelos)</t>
  </si>
  <si>
    <t xml:space="preserve">(−) Carnê-leão pago (EDITAR)</t>
  </si>
  <si>
    <t xml:space="preserve">Nenhum DARF localizado</t>
  </si>
  <si>
    <t xml:space="preserve">(−) Crédito imposto pago nos EUA</t>
  </si>
  <si>
    <t xml:space="preserve">Ver 06</t>
  </si>
  <si>
    <t xml:space="preserve">IRPF a pagar — AC 2018 (principal)</t>
  </si>
  <si>
    <t xml:space="preserve">Informativo — DECAÍDO</t>
  </si>
  <si>
    <t xml:space="preserve">Referência: laudo Fase 6</t>
  </si>
  <si>
    <t xml:space="preserve">Diferença decorre do teto do desconto simplificado e da regra cambial</t>
  </si>
  <si>
    <t xml:space="preserve">Diferença vs. laudo Fase 6</t>
  </si>
  <si>
    <t xml:space="preserve">BLOCO A2 — AC 2019 — RESIDENTE 01/01 a 24/01/2019 (DSDP). INFORMATIVO: DECAÍDO.</t>
  </si>
  <si>
    <t xml:space="preserve">Item</t>
  </si>
  <si>
    <t xml:space="preserve">Fonte / observação</t>
  </si>
  <si>
    <t xml:space="preserve">Rendimento Sch C 2019 (US$)</t>
  </si>
  <si>
    <t xml:space="preserve">[FATO CONFIRMADO — OCR] 1040/2019</t>
  </si>
  <si>
    <t xml:space="preserve">Dias como residente em 2019</t>
  </si>
  <si>
    <t xml:space="preserve">Da data 01/01/2019 até a véspera da não residência</t>
  </si>
  <si>
    <t xml:space="preserve">US$ proporcional ao período residente</t>
  </si>
  <si>
    <t xml:space="preserve">[HIPÓTESE] Rateio linear — sem paystubs/notas de jan/2019</t>
  </si>
  <si>
    <t xml:space="preserve">Dólar compra 14/12/2018</t>
  </si>
  <si>
    <t xml:space="preserve">BCB SGS 10813 — 1ª quinzena do mês anterior (jan/2019)</t>
  </si>
  <si>
    <t xml:space="preserve">Rendimento R$ — período residente</t>
  </si>
  <si>
    <t xml:space="preserve">Obrigado pelo limite de rendimentos?</t>
  </si>
  <si>
    <t xml:space="preserve">Limite R$ 28.559,70 (exercício 2020)</t>
  </si>
  <si>
    <t xml:space="preserve">IRPF anual (tabela sem desconto)</t>
  </si>
  <si>
    <t xml:space="preserve">Abaixo da faixa isenta</t>
  </si>
  <si>
    <t xml:space="preserve">MAED (se a DSDP for obrigatória)</t>
  </si>
  <si>
    <t xml:space="preserve">Mínimo R$ 165,74 — decaído em 31/12/2025 (02)</t>
  </si>
  <si>
    <t xml:space="preserve">BLOCO B — NÃO RESIDENTE (25/01/2019 em diante): renda EUA fora do IRPF; somente IRRF sobre renda de fonte BR (da aba 04)</t>
  </si>
  <si>
    <t xml:space="preserve">Renda EUA — IR BR</t>
  </si>
  <si>
    <t xml:space="preserve">Entradas BR (total)</t>
  </si>
  <si>
    <t xml:space="preserve">Entradas PENDENTES</t>
  </si>
  <si>
    <t xml:space="preserve">Base IRRF apurada</t>
  </si>
  <si>
    <t xml:space="preserve">IRRF apurado (principal)</t>
  </si>
  <si>
    <t xml:space="preserve">Cenário A 15% (principal)</t>
  </si>
  <si>
    <t xml:space="preserve">Cenário B 25% (principal)</t>
  </si>
  <si>
    <t xml:space="preserve">Sem extratos BR para o ano — PENDENTE — DOCUMENTO NECESSÁRIO</t>
  </si>
  <si>
    <t xml:space="preserve">Extratos out–dez/2024</t>
  </si>
  <si>
    <t xml:space="preserve">Extratos 2025 (abr e mai ausentes)</t>
  </si>
  <si>
    <t xml:space="preserve">Extratos jan–abr/2026 parciais</t>
  </si>
  <si>
    <t xml:space="preserve">08 — JUROS SELIC E MULTAS ATÉ A DATA-BASE</t>
  </si>
  <si>
    <t xml:space="preserve">Tributo / período</t>
  </si>
  <si>
    <t xml:space="preserve">Principal (R$)</t>
  </si>
  <si>
    <t xml:space="preserve">Vencimento</t>
  </si>
  <si>
    <t xml:space="preserve">Decadência</t>
  </si>
  <si>
    <t xml:space="preserve">Exigível?</t>
  </si>
  <si>
    <t xml:space="preserve">Juros %</t>
  </si>
  <si>
    <t xml:space="preserve">Multa %</t>
  </si>
  <si>
    <t xml:space="preserve">Juros R$</t>
  </si>
  <si>
    <t xml:space="preserve">Multa R$</t>
  </si>
  <si>
    <t xml:space="preserve">Total atualizado</t>
  </si>
  <si>
    <t xml:space="preserve">Total EXIGÍVEL</t>
  </si>
  <si>
    <t xml:space="preserve">Base legal</t>
  </si>
  <si>
    <t xml:space="preserve">IRPF AC 2018 — ajuste anual</t>
  </si>
  <si>
    <t xml:space="preserve">Lei 9.430/96 art. 61; CTN 173, I</t>
  </si>
  <si>
    <t xml:space="preserve">Informativo — crédito tributário extinto (CTN art. 156, V). Pagamento voluntário = indébito.</t>
  </si>
  <si>
    <t xml:space="preserve">MAED — DSDP AC 2019</t>
  </si>
  <si>
    <t xml:space="preserve">Multa por atraso; sem juros até lançamento. Decaída.</t>
  </si>
  <si>
    <t xml:space="preserve">IRRF apurado — 2019</t>
  </si>
  <si>
    <t xml:space="preserve">por lançamento (04)</t>
  </si>
  <si>
    <t xml:space="preserve">IRRF não residente; Lei 9.430/96 art. 61</t>
  </si>
  <si>
    <t xml:space="preserve">Juros/multa calculados linha a linha na aba 04</t>
  </si>
  <si>
    <t xml:space="preserve">Cenário A 15% (exposição) — 2019</t>
  </si>
  <si>
    <t xml:space="preserve">Juros/multa calculados linha a linha na aba 04 — CENÁRIO, NÃO É IMPOSTO DEVIDO</t>
  </si>
  <si>
    <t xml:space="preserve">Cenário B 25% (exposição) — 2019</t>
  </si>
  <si>
    <t xml:space="preserve">IRRF apurado — 2020</t>
  </si>
  <si>
    <t xml:space="preserve">Cenário A 15% (exposição) — 2020</t>
  </si>
  <si>
    <t xml:space="preserve">Cenário B 25% (exposição) — 2020</t>
  </si>
  <si>
    <t xml:space="preserve">IRRF apurado — 2021</t>
  </si>
  <si>
    <t xml:space="preserve">Cenário A 15% (exposição) — 2021</t>
  </si>
  <si>
    <t xml:space="preserve">Cenário B 25% (exposição) — 2021</t>
  </si>
  <si>
    <t xml:space="preserve">IRRF apurado — 2022</t>
  </si>
  <si>
    <t xml:space="preserve">Cenário A 15% (exposição) — 2022</t>
  </si>
  <si>
    <t xml:space="preserve">Cenário B 25% (exposição) — 2022</t>
  </si>
  <si>
    <t xml:space="preserve">IRRF apurado — 2023</t>
  </si>
  <si>
    <t xml:space="preserve">Cenário A 15% (exposição) — 2023</t>
  </si>
  <si>
    <t xml:space="preserve">Cenário B 25% (exposição) — 2023</t>
  </si>
  <si>
    <t xml:space="preserve">IRRF apurado — 2024</t>
  </si>
  <si>
    <t xml:space="preserve">Cenário A 15% (exposição) — 2024</t>
  </si>
  <si>
    <t xml:space="preserve">Cenário B 25% (exposição) — 2024</t>
  </si>
  <si>
    <t xml:space="preserve">IRRF apurado — 2025</t>
  </si>
  <si>
    <t xml:space="preserve">Cenário A 15% (exposição) — 2025</t>
  </si>
  <si>
    <t xml:space="preserve">Cenário B 25% (exposição) — 2025</t>
  </si>
  <si>
    <t xml:space="preserve">IRRF apurado — 2026</t>
  </si>
  <si>
    <t xml:space="preserve">Cenário A 15% (exposição) — 2026</t>
  </si>
  <si>
    <t xml:space="preserve">Cenário B 25% (exposição) — 2026</t>
  </si>
  <si>
    <t xml:space="preserve">TOTAL EXIGÍVEL (apurado)</t>
  </si>
  <si>
    <t xml:space="preserve">Exposição máxima — Cenário A atualizada</t>
  </si>
  <si>
    <t xml:space="preserve">Exposição máxima — Cenário B atualizada</t>
  </si>
  <si>
    <t xml:space="preserve">Se houver lançamento de ofício, a multa de mora é substituída pela multa de ofício de 75% (art. 44, I) sobre o principal — ver 00_PARAMETROS.</t>
  </si>
  <si>
    <t xml:space="preserve">09 — IMÓVEIS ADQUIRIDOS EM 2025 E ORIGEM DOS RECURSOS</t>
  </si>
  <si>
    <t xml:space="preserve">Blue Ocean — Loft 605</t>
  </si>
  <si>
    <t xml:space="preserve">N1 Porto Belo / Vivapark — Apto 303</t>
  </si>
  <si>
    <t xml:space="preserve">Total</t>
  </si>
  <si>
    <t xml:space="preserve">Vendedor / cedente</t>
  </si>
  <si>
    <t xml:space="preserve">Rofran Construtora Ltda (CNPJ 51.819.924/0001-55)</t>
  </si>
  <si>
    <t xml:space="preserve">Cedente conforme contrato; recebedora: Vokkan Reserva I Urbanismo SPE (CNPJ 32.198.324/0001-72)</t>
  </si>
  <si>
    <t xml:space="preserve">[FATO CONFIRMADO] contratos na pasta 2025/investimentos</t>
  </si>
  <si>
    <t xml:space="preserve">Data do contrato</t>
  </si>
  <si>
    <t xml:space="preserve">[FATO CONFIRMADO]</t>
  </si>
  <si>
    <t xml:space="preserve">Preço contratado (R$)</t>
  </si>
  <si>
    <t xml:space="preserve">N1 inclui comissão de corretagem R$ 62.513,25; reajuste pelo CUB/SC</t>
  </si>
  <si>
    <t xml:space="preserve">Adquirente(s)</t>
  </si>
  <si>
    <t xml:space="preserve">José (casado com Márcia)</t>
  </si>
  <si>
    <t xml:space="preserve">José + Márcia</t>
  </si>
  <si>
    <t xml:space="preserve">Domicílio declarado no contrato</t>
  </si>
  <si>
    <t xml:space="preserve">Goioerê/PR (Rua Arapongas, 303)</t>
  </si>
  <si>
    <t xml:space="preserve">Bethel/CT — EUA</t>
  </si>
  <si>
    <t xml:space="preserve">CONTRADIÇÃO: o contrato Blue Ocean declara residência no Brasil → prova contrária à tese de não residente</t>
  </si>
  <si>
    <t xml:space="preserve">Vencido até 31/12/2025 — nominal (R$)</t>
  </si>
  <si>
    <t xml:space="preserve">Blue Ocean: 5.000 (29/07) + 365.000 (ato). N1: ato 80.000 + 3×35.805 (ago–out) + 3.000 (25/11 e 25/12). Sem correção CUB</t>
  </si>
  <si>
    <t xml:space="preserve">Pago via Nubank — rastreado (R$)</t>
  </si>
  <si>
    <t xml:space="preserve">Aba 04 (vínculo imóvel). N1: PIX a 'N1 Porto Belo Empreendimentos' — conta diferente da indicada no contrato [INFERÊNCIA]</t>
  </si>
  <si>
    <t xml:space="preserve">Vencido sem pagamento rastreado (R$)</t>
  </si>
  <si>
    <t xml:space="preserve">PENDENTE — DOCUMENTO NECESSÁRIO: comprovantes de outras contas (Márcia? exterior?)</t>
  </si>
  <si>
    <t xml:space="preserve">Saldo a vencer a partir de 2026 — nominal (R$)</t>
  </si>
  <si>
    <t xml:space="preserve">N1: 82 parcelas de 3.000 + 7 reforços de 88.850 (a partir de 25/07/2026) + chaves 188.900 (até 25/12/2032)</t>
  </si>
  <si>
    <t xml:space="preserve">ORIGEM DOS RECURSOS 2025 — ENTRADAS NA CONTA NUBANK (R$)</t>
  </si>
  <si>
    <t xml:space="preserve">Classe</t>
  </si>
  <si>
    <t xml:space="preserve">Valor 2025</t>
  </si>
  <si>
    <t xml:space="preserve">Qtde.</t>
  </si>
  <si>
    <t xml:space="preserve">Leitura</t>
  </si>
  <si>
    <t xml:space="preserve">Remessas do exterior (Daycoval/Remitly/TAPTAP)</t>
  </si>
  <si>
    <t xml:space="preserve">Terceiros no Brasil — natureza PENDENTE</t>
  </si>
  <si>
    <t xml:space="preserve">Maior bloco: terceiros BR — comprovar natureza antes de qualquer conclusão</t>
  </si>
  <si>
    <t xml:space="preserve">Transferências da cônjuge</t>
  </si>
  <si>
    <t xml:space="preserve">Resgates RDB (recursos próprios já na conta)</t>
  </si>
  <si>
    <t xml:space="preserve">Estornos</t>
  </si>
  <si>
    <t xml:space="preserve">TOTAL entradas 2025</t>
  </si>
  <si>
    <t xml:space="preserve">Saldo de RDB em 31/12/2024 (EDITAR)</t>
  </si>
  <si>
    <t xml:space="preserve">PENDENTE — DOCUMENTO NECESSÁRIO: informe de rendimentos Nubank 2024/2025</t>
  </si>
  <si>
    <t xml:space="preserve">CONSEQUÊNCIAS TRIBUTÁRIAS</t>
  </si>
  <si>
    <t xml:space="preserve">[FATO CONFIRMADO] O preço de aquisição não é renda tributável.</t>
  </si>
  <si>
    <t xml:space="preserve">[INFERÊNCIA TÉCNICA] Não residente não entrega DIRPF: a aquisição não é declarada à RFB pelo adquirente. O .DEC 2026 com endereço em SP não deve ser transmitido.</t>
  </si>
  <si>
    <t xml:space="preserve">[INFERÊNCIA TÉCNICA] Na futura alienação, o ganho de capital do não residente é tributado a 15%–22,5%, com retenção pelo adquirente ou procurador (Lei 10.833/2003, art. 26). Guardar o custo de aquisição: contratos, comprovantes, ITBI, corretagem e correção CUB.</t>
  </si>
  <si>
    <t xml:space="preserve">[HIPÓTESE] Aquisição de imóvel no BR por não residente com recursos do exterior: verificar a exigência de registro de capital estrangeiro no BCB (Lei 14.286/2021; Res. BCB 278/2022) — confirmar na fonte oficial.</t>
  </si>
  <si>
    <t xml:space="preserve">[INFERÊNCIA TÉCNICA] Risco central: se os R$ 574 mil de terceiros em 2025 forem renda de fonte BR (serviço, venda de bem, aluguel), incide IRRF — ver 04/08. Se forem empréstimo, exigir contrato e plano de devolução.</t>
  </si>
  <si>
    <t xml:space="preserve">[FATO CONFIRMADO] Os contratos declaram domicílios opostos (Goioerê/PR × Bethel/CT). A escritura definitiva deve refletir a condição de não residente e indicar procurador no BR.</t>
  </si>
  <si>
    <t xml:space="preserve">10 — CONTROLE DE DOCUMENTOS</t>
  </si>
  <si>
    <t xml:space="preserve">#</t>
  </si>
  <si>
    <t xml:space="preserve">Documento (pasta G:\...\irpf JOSE ADALMO)</t>
  </si>
  <si>
    <t xml:space="preserve">Valores extraídos</t>
  </si>
  <si>
    <t xml:space="preserve">Uso nesta memória</t>
  </si>
  <si>
    <t xml:space="preserve">Verificação</t>
  </si>
  <si>
    <t xml:space="preserve">2017/06935199670-IRPF-A-2017-2016-DEC/REC.pdf</t>
  </si>
  <si>
    <t xml:space="preserve">AC 2016</t>
  </si>
  <si>
    <t xml:space="preserve">DIRPF entregue 10/03/2017</t>
  </si>
  <si>
    <t xml:space="preserve">02</t>
  </si>
  <si>
    <t xml:space="preserve">[FATO CONFIRMADO] Lido (Fase 0)</t>
  </si>
  <si>
    <t xml:space="preserve">2018/ 7 imagens → 000 MD/OCR/2018_US_TAX.md</t>
  </si>
  <si>
    <t xml:space="preserve">José + Márcia (MFJ)</t>
  </si>
  <si>
    <t xml:space="preserve">Wages 25.628; tax 164; CTC 164; CT 0; W-7 de DEPENDENTE (entrada 01/25/2018)</t>
  </si>
  <si>
    <t xml:space="preserve">05, 06, 07</t>
  </si>
  <si>
    <t xml:space="preserve">OCR — confiança média-alta</t>
  </si>
  <si>
    <t xml:space="preserve">2019/ 12 imagens → OCR/2019_US_TAX.md</t>
  </si>
  <si>
    <t xml:space="preserve">Sch C 10.000; SE 1.413; CT AGI 9.293</t>
  </si>
  <si>
    <t xml:space="preserve">05, 07</t>
  </si>
  <si>
    <t xml:space="preserve">OCR</t>
  </si>
  <si>
    <t xml:space="preserve">2020/ 22 imagens → OCR/2020_2021_US_TAX.md</t>
  </si>
  <si>
    <t xml:space="preserve">2020–2021</t>
  </si>
  <si>
    <t xml:space="preserve">José (MFJ)</t>
  </si>
  <si>
    <t xml:space="preserve">2020: 30.152 / 2.252 / SE 318 — 2021: 35.335 / 4.870 / SE 686</t>
  </si>
  <si>
    <t xml:space="preserve">05</t>
  </si>
  <si>
    <t xml:space="preserve">OCR (2021 via Fase 2)</t>
  </si>
  <si>
    <t xml:space="preserve">2022/Jose Adalmo 22 File.pdf → OCR/2022_US_TAX.md</t>
  </si>
  <si>
    <t xml:space="preserve">Sch C 40.550 / 10.823; AGI 10.058; taxable 0; SE 1.529</t>
  </si>
  <si>
    <t xml:space="preserve">2023/ 17 imagens → OCR/2023_US_TAX.md</t>
  </si>
  <si>
    <t xml:space="preserve">K-1 75.383; SE 10.651; owed 15.480; digital assets YES</t>
  </si>
  <si>
    <t xml:space="preserve">OCR — linhas 22/24 ilegíveis</t>
  </si>
  <si>
    <t xml:space="preserve">2024/2024 Tax Return Documents (Client Copy).pdf</t>
  </si>
  <si>
    <t xml:space="preserve">Total income 82.153; AGI 81.341; tax 5.039; SE 1.623; owed 6.963; 3 partnerships</t>
  </si>
  <si>
    <t xml:space="preserve">[FATO CONFIRMADO] lido nesta sessão (pdftotext)</t>
  </si>
  <si>
    <t xml:space="preserve">000 MD/DADOS/NUBANK_LEDGER.csv (Nubank 89083502-4)</t>
  </si>
  <si>
    <t xml:space="preserve">out/2024–abr/2026</t>
  </si>
  <si>
    <t xml:space="preserve">164 lançamentos</t>
  </si>
  <si>
    <t xml:space="preserve">04, 07, 08, 09</t>
  </si>
  <si>
    <t xml:space="preserve">Derivado dos PDFs; conferir contra os extratos originais</t>
  </si>
  <si>
    <t xml:space="preserve">2024/NU_*_OUT–DEZ2024.pdf; 2025/01–12.pdf; 2026/NU_*.pdf</t>
  </si>
  <si>
    <t xml:space="preserve">2024–2026</t>
  </si>
  <si>
    <t xml:space="preserve">Extratos originais</t>
  </si>
  <si>
    <t xml:space="preserve">04</t>
  </si>
  <si>
    <t xml:space="preserve">04.txt e 05.txt vazios → abr–mai/2025 AUSENTES; mar/2026 AUSENTE</t>
  </si>
  <si>
    <t xml:space="preserve">2025/investimentos/BLUE OCEAN 605.pdf</t>
  </si>
  <si>
    <t xml:space="preserve">30/07/2025</t>
  </si>
  <si>
    <t xml:space="preserve">R$ 370.000; domicílio Goioerê/PR</t>
  </si>
  <si>
    <t xml:space="preserve">09</t>
  </si>
  <si>
    <t xml:space="preserve">[FATO CONFIRMADO] lido nesta sessão</t>
  </si>
  <si>
    <t xml:space="preserve">2025/investimentos/PF - INC N1 - TERRENISTA - 100X.pdf</t>
  </si>
  <si>
    <t xml:space="preserve">R$ 1.250.265; cronograma até 2032; domicílio Bethel/CT</t>
  </si>
  <si>
    <t xml:space="preserve">06935199670-IRPF-A-2026-2025-ORIGI.DEC</t>
  </si>
  <si>
    <t xml:space="preserve">AC 2025</t>
  </si>
  <si>
    <t xml:space="preserve">Endereço Rua Silas 166, São Paulo/SP; sem REC</t>
  </si>
  <si>
    <t xml:space="preserve">02, 11</t>
  </si>
  <si>
    <t xml:space="preserve">Não transmitir</t>
  </si>
  <si>
    <t xml:space="preserve">0 DOCUMENTS PESSOAIS/*.jpeg</t>
  </si>
  <si>
    <t xml:space="preserve">—</t>
  </si>
  <si>
    <t xml:space="preserve">José, Márcia, Gabriel</t>
  </si>
  <si>
    <t xml:space="preserve">CPFs, certidão de casamento</t>
  </si>
  <si>
    <t xml:space="preserve">Não lido</t>
  </si>
  <si>
    <t xml:space="preserve">Passaporte / I-94 / passagem do José</t>
  </si>
  <si>
    <t xml:space="preserve">2018–2019</t>
  </si>
  <si>
    <t xml:space="preserve">00 (data de saída)</t>
  </si>
  <si>
    <t xml:space="preserve">Comprovantes de natureza dos recebimentos de terceiros</t>
  </si>
  <si>
    <t xml:space="preserve">Extratos das contas de onde saíram os pagamentos dos imóveis não rastreados</t>
  </si>
  <si>
    <t xml:space="preserve">José / Márcia</t>
  </si>
  <si>
    <t xml:space="preserve">Form 1040/2025 e comprovante de pagamento do 1040/2024 ao IRS</t>
  </si>
  <si>
    <t xml:space="preserve">2024–2025</t>
  </si>
  <si>
    <t xml:space="preserve">Informe de rendimentos Nubank (RDB) 2024–2025</t>
  </si>
  <si>
    <t xml:space="preserve">11 — RISCOS, INCONSISTÊNCIAS, VALIDAÇÕES E AÇÕES</t>
  </si>
  <si>
    <t xml:space="preserve">Achado</t>
  </si>
  <si>
    <t xml:space="preserve">Ação necessária</t>
  </si>
  <si>
    <t xml:space="preserve">Base / evidência</t>
  </si>
  <si>
    <t xml:space="preserve">Prazo</t>
  </si>
  <si>
    <t xml:space="preserve">R-01</t>
  </si>
  <si>
    <t xml:space="preserve">O .DEC 2026 (AC 2025) foi gerado com endereço em São Paulo/SP</t>
  </si>
  <si>
    <t xml:space="preserve">CRÍTICO</t>
  </si>
  <si>
    <t xml:space="preserve">NÃO transmitir. Arquivar com nota técnica.</t>
  </si>
  <si>
    <t xml:space="preserve">Arquivo .DEC (registro 16)</t>
  </si>
  <si>
    <t xml:space="preserve">Imediato</t>
  </si>
  <si>
    <t xml:space="preserve">ABERTO</t>
  </si>
  <si>
    <t xml:space="preserve">R-02</t>
  </si>
  <si>
    <t xml:space="preserve">Recebimentos de terceiros no BR sem natureza comprovada (maior bloco: R$ 190 mil Reginaldo Bessa; R$ 69 mil Wersan Combustíveis LTDA; R$ 96 mil André Werner; R$ 44 mil Rodrigo Machado; Felipe de M. Rodrigues)</t>
  </si>
  <si>
    <t xml:space="preserve">Para cada lançamento material: contrato, recibo, escritura ou declaração do pagador. Preencher a coluna K da aba 04.</t>
  </si>
  <si>
    <t xml:space="preserve">Aba 04 — CORRIGE o laudo F6, que apontava como risco as remessas do exterior</t>
  </si>
  <si>
    <t xml:space="preserve">30/10/2026</t>
  </si>
  <si>
    <t xml:space="preserve">R-03</t>
  </si>
  <si>
    <t xml:space="preserve">A data de saída 25/01/2018 não está provada para o José (os W-7 são de dependente)</t>
  </si>
  <si>
    <t xml:space="preserve">Passaporte, I-94, passagem, carteira de motorista CT e contrato de locação em nome dele.</t>
  </si>
  <si>
    <t xml:space="preserve">OCR 2018 — W-7 box 'd' (dependente)</t>
  </si>
  <si>
    <t xml:space="preserve">R-04</t>
  </si>
  <si>
    <t xml:space="preserve">Contrato Blue Ocean (30/07/2025) declara José residente e domiciliado em Goioerê/PR</t>
  </si>
  <si>
    <t xml:space="preserve">Aditivo ou escritura retificando o domicílio; reunir provas de residência nos EUA.</t>
  </si>
  <si>
    <t xml:space="preserve">Contrato Blue Ocean, cláusula I-b</t>
  </si>
  <si>
    <t xml:space="preserve">Antes da escritura</t>
  </si>
  <si>
    <t xml:space="preserve">R-05</t>
  </si>
  <si>
    <t xml:space="preserve">Pagamentos de imóveis vencidos em 2025 sem rastreio no Nubank</t>
  </si>
  <si>
    <t xml:space="preserve">Extratos das contas usadas (Márcia, outras, exterior).</t>
  </si>
  <si>
    <t xml:space="preserve">Aba 09 — linha 12</t>
  </si>
  <si>
    <t xml:space="preserve">30/11/2026</t>
  </si>
  <si>
    <t xml:space="preserve">R-06</t>
  </si>
  <si>
    <t xml:space="preserve">Extratos ausentes: abr–mai/2025, mar/2026, 2019–2023 (exceto mai/2022)</t>
  </si>
  <si>
    <t xml:space="preserve">2019–2026</t>
  </si>
  <si>
    <t xml:space="preserve">Obter extratos completos de todas as contas no BR.</t>
  </si>
  <si>
    <t xml:space="preserve">10_DOCUMENT_CONTROL</t>
  </si>
  <si>
    <t xml:space="preserve">R-07</t>
  </si>
  <si>
    <t xml:space="preserve">Ativos digitais: YES em 2023 (NO em 2024)</t>
  </si>
  <si>
    <t xml:space="preserve">AC 2023</t>
  </si>
  <si>
    <t xml:space="preserve">Identificar exchanges; se BR, avaliar GCAP de não residente.</t>
  </si>
  <si>
    <t xml:space="preserve">1040/2023</t>
  </si>
  <si>
    <t xml:space="preserve">R-08</t>
  </si>
  <si>
    <t xml:space="preserve">1040/2024: saldo de US$ 6.963 sem pagamento no formulário</t>
  </si>
  <si>
    <t xml:space="preserve">US 2024</t>
  </si>
  <si>
    <t xml:space="preserve">Confirmar o pagamento ao IRS (Account Transcript). Não afeta o BR.</t>
  </si>
  <si>
    <t xml:space="preserve">1040/2024 l.33 = 0; l.37</t>
  </si>
  <si>
    <t xml:space="preserve">R-09</t>
  </si>
  <si>
    <t xml:space="preserve">CPF possivelmente ainda como residente; conta Nubank de residente mantida por não residente</t>
  </si>
  <si>
    <t xml:space="preserve">Atual</t>
  </si>
  <si>
    <t xml:space="preserve">Regularizar o CPF como residente no exterior e nomear procurador. Consultar o banco sobre o enquadramento da conta (Lei 14.286/2021 — confirmar).</t>
  </si>
  <si>
    <t xml:space="preserve">[HIPÓTESE]</t>
  </si>
  <si>
    <t xml:space="preserve">31/12/2026</t>
  </si>
  <si>
    <t xml:space="preserve">R-10</t>
  </si>
  <si>
    <t xml:space="preserve">Márcia (CPF 023.515.229-31): residência fiscal não analisada; transferiu R$ 85 mil ao José e é coadquirente do N1</t>
  </si>
  <si>
    <t xml:space="preserve">2018–2026</t>
  </si>
  <si>
    <t xml:space="preserve">Aplicar a mesma análise de residência à Márcia; origem dos recursos dela.</t>
  </si>
  <si>
    <t xml:space="preserve">Contratos + ledger</t>
  </si>
  <si>
    <t xml:space="preserve">R-11</t>
  </si>
  <si>
    <t xml:space="preserve">Participações em 3 partnerships nos EUA (Two Brothers, UPE, Royal Flush)</t>
  </si>
  <si>
    <t xml:space="preserve">2023–2024</t>
  </si>
  <si>
    <t xml:space="preserve">CBE/BCB vale para residente no BR — não se aplica a não residente [INFERÊNCIA]. CORRIGE o laudo F6 (itens 7 e 12).</t>
  </si>
  <si>
    <t xml:space="preserve">Sch E 2024</t>
  </si>
  <si>
    <t xml:space="preserve">V-01</t>
  </si>
  <si>
    <t xml:space="preserve">Correção: desconto simplificado AC 2018 sem teto no laudo F6</t>
  </si>
  <si>
    <t xml:space="preserve">AC 2018</t>
  </si>
  <si>
    <t xml:space="preserve">Adotar o cálculo da aba 07 (teto R$ 16.754,34).</t>
  </si>
  <si>
    <t xml:space="preserve">IN RFB 1.871/2019</t>
  </si>
  <si>
    <t xml:space="preserve">APLICADO</t>
  </si>
  <si>
    <t xml:space="preserve">V-02</t>
  </si>
  <si>
    <t xml:space="preserve">Correção: decadência calculada pelo art. 150, §4º no laudo F6</t>
  </si>
  <si>
    <t xml:space="preserve">Todos</t>
  </si>
  <si>
    <t xml:space="preserve">Sem declaração e sem pagamento → art. 173, I (prazos mais longos). Ver 02.</t>
  </si>
  <si>
    <t xml:space="preserve">CTN; STJ Súmula 555</t>
  </si>
  <si>
    <t xml:space="preserve">V-03</t>
  </si>
  <si>
    <t xml:space="preserve">Correção: câmbio AC 2018 pela PTAX venda de 31/12/2018; PTAX ago/2018 digitada como 3,1353</t>
  </si>
  <si>
    <t xml:space="preserve">Usar o dólar de compra da 1ª quinzena do mês anterior (aba 07).</t>
  </si>
  <si>
    <t xml:space="preserve">Fase 2, tabela 2.1</t>
  </si>
  <si>
    <t xml:space="preserve">V-04</t>
  </si>
  <si>
    <t xml:space="preserve">Checagem: entradas × classes (ledger)</t>
  </si>
  <si>
    <t xml:space="preserve">INFO</t>
  </si>
  <si>
    <t xml:space="preserve">Soma 04 = soma por classe (09) + outros anos</t>
  </si>
  <si>
    <t xml:space="preserve">AUTO</t>
  </si>
  <si>
    <t xml:space="preserve">V-05</t>
  </si>
  <si>
    <t xml:space="preserve">Checagem: possíveis duplicidades (mesma data, contraparte e valor)</t>
  </si>
  <si>
    <t xml:space="preserve">Aba 04</t>
  </si>
  <si>
    <t xml:space="preserve">V-06</t>
  </si>
  <si>
    <t xml:space="preserve">Checagem: crédito estrangeiro ≤ limite</t>
  </si>
  <si>
    <t xml:space="preserve">Aba 06</t>
  </si>
  <si>
    <t xml:space="preserve">12 — FONTES NORMATIVAS E OFICIAIS</t>
  </si>
  <si>
    <t xml:space="preserve">Norma / fonte</t>
  </si>
  <si>
    <t xml:space="preserve">Regra aplicada</t>
  </si>
  <si>
    <t xml:space="preserve">Link oficial</t>
  </si>
  <si>
    <t xml:space="preserve">IN SRF 208/2002</t>
  </si>
  <si>
    <t xml:space="preserve">Residência/não residência; 12 meses de ausência sem CSDP; DSDP</t>
  </si>
  <si>
    <t xml:space="preserve">2002–atual</t>
  </si>
  <si>
    <t xml:space="preserve">http://normas.receita.fazenda.gov.br/sijut2consulta/link.action?idAto=15103</t>
  </si>
  <si>
    <t xml:space="preserve">Confirmar texto</t>
  </si>
  <si>
    <t xml:space="preserve">CTN — Lei 5.172/1966, art. 173, I; art. 156, V</t>
  </si>
  <si>
    <t xml:space="preserve">Decadência sem declaração e sem pagamento; extinção do crédito</t>
  </si>
  <si>
    <t xml:space="preserve">Permanente</t>
  </si>
  <si>
    <t xml:space="preserve">https://www.planalto.gov.br/ccivil_03/leis/l5172compilado.htm</t>
  </si>
  <si>
    <t xml:space="preserve">Verificar</t>
  </si>
  <si>
    <t xml:space="preserve">STJ — Súmula 555</t>
  </si>
  <si>
    <t xml:space="preserve">Aplicação do art. 173, I quando não há declaração</t>
  </si>
  <si>
    <t xml:space="preserve">https://scon.stj.jus.br/SCON/sumstj/</t>
  </si>
  <si>
    <t xml:space="preserve">Lei 11.482/2007, art. 1º</t>
  </si>
  <si>
    <t xml:space="preserve">Tabelas progressivas mensal e anual (2015–2022)</t>
  </si>
  <si>
    <t xml:space="preserve">AC 2018–2019</t>
  </si>
  <si>
    <t xml:space="preserve">https://www.planalto.gov.br/ccivil_03/_ato2007-2010/2007/lei/l11482.htm</t>
  </si>
  <si>
    <t xml:space="preserve">Confirmar</t>
  </si>
  <si>
    <t xml:space="preserve">DIRPF exercício 2019 (AC 2018): limite de obrigatoriedade e desconto simplificado</t>
  </si>
  <si>
    <t xml:space="preserve">http://normas.receita.fazenda.gov.br/sijut2consulta/</t>
  </si>
  <si>
    <t xml:space="preserve">Decreto 9.580/2018 (RIR/2018)</t>
  </si>
  <si>
    <t xml:space="preserve">Conversão cambial de rendimentos do exterior; compensação de imposto pago no exterior (PF)</t>
  </si>
  <si>
    <t xml:space="preserve">2018–atual</t>
  </si>
  <si>
    <t xml:space="preserve">https://www.planalto.gov.br/ccivil_03/_ato2015-2018/2018/decreto/d9580.htm</t>
  </si>
  <si>
    <t xml:space="preserve">Confirmar artigos</t>
  </si>
  <si>
    <t xml:space="preserve">Lei 4.862/1965, art. 5º; ADI SRF 28/2000</t>
  </si>
  <si>
    <t xml:space="preserve">Reciprocidade Brasil–EUA: somente imposto de renda federal</t>
  </si>
  <si>
    <t xml:space="preserve">Lei 9.430/1996, arts. 5º, 44 e 61</t>
  </si>
  <si>
    <t xml:space="preserve">Juros SELIC, multa de mora 0,33%/dia (teto 20%), multa de ofício 75%</t>
  </si>
  <si>
    <t xml:space="preserve">https://www.planalto.gov.br/ccivil_03/leis/l9430.htm</t>
  </si>
  <si>
    <t xml:space="preserve">Lei 8.981/1995, art. 88</t>
  </si>
  <si>
    <t xml:space="preserve">MAED — multa por atraso de declaração (mínimo R$ 165,74)</t>
  </si>
  <si>
    <t xml:space="preserve">https://www.planalto.gov.br/ccivil_03/leis/l8981.htm</t>
  </si>
  <si>
    <t xml:space="preserve">Lei 10.833/2003, art. 26; Lei 13.259/2016</t>
  </si>
  <si>
    <t xml:space="preserve">Ganho de capital de não residente: responsável o adquirente/procurador; alíquotas 15%–22,5%</t>
  </si>
  <si>
    <t xml:space="preserve">https://www.planalto.gov.br/ccivil_03/leis/2003/l10.833.htm</t>
  </si>
  <si>
    <t xml:space="preserve">RFB — Perguntas e Respostas IRPF (não residentes)</t>
  </si>
  <si>
    <t xml:space="preserve">IRRF 15% (regra geral) e 25% (trabalho/serviços) para residente no exterior</t>
  </si>
  <si>
    <t xml:space="preserve">Vigente</t>
  </si>
  <si>
    <t xml:space="preserve">https://www.gov.br/receitafederal/pt-br/centrais-de-conteudo/publicacoes/perguntas-e-respostas/dirpf</t>
  </si>
  <si>
    <t xml:space="preserve">Lei 14.286/2021; Res. BCB 277/2022 e 278/2022</t>
  </si>
  <si>
    <t xml:space="preserve">Contas de não residentes; capital estrangeiro</t>
  </si>
  <si>
    <t xml:space="preserve">2022–atual</t>
  </si>
  <si>
    <t xml:space="preserve">https://www.bcb.gov.br/estabilidadefinanceira/buscanormas</t>
  </si>
  <si>
    <t xml:space="preserve">[HIPÓTESE] — confirmar</t>
  </si>
  <si>
    <t xml:space="preserve">BCB — SGS 4390 (SELIC mensal)</t>
  </si>
  <si>
    <t xml:space="preserve">Juros de mora</t>
  </si>
  <si>
    <t xml:space="preserve">https://api.bcb.gov.br/dados/serie/bcdata.sgs.4390/dados?formato=json</t>
  </si>
  <si>
    <t xml:space="preserve">Consultado 29/09/2026</t>
  </si>
  <si>
    <t xml:space="preserve">BCB — SGS 10813 (dólar compra)</t>
  </si>
  <si>
    <t xml:space="preserve">Conversão dos rendimentos AC 2018/2019</t>
  </si>
  <si>
    <t xml:space="preserve">2017–2018</t>
  </si>
  <si>
    <t xml:space="preserve">https://api.bcb.gov.br/dados/serie/bcdata.sgs.10813/dados?formato=json</t>
  </si>
  <si>
    <t xml:space="preserve">IRS — Form 1040 Instructions</t>
  </si>
  <si>
    <t xml:space="preserve">Linhas 22 (income tax), 23 (SE tax), 24 (total tax)</t>
  </si>
  <si>
    <t xml:space="preserve">2018–2024</t>
  </si>
  <si>
    <t xml:space="preserve">https://www.irs.gov/forms-pubs/about-form-1040</t>
  </si>
  <si>
    <t xml:space="preserve">Referência</t>
  </si>
  <si>
    <t xml:space="preserve">00 — PARÂMETROS, PREMISSAS E TABELAS (células amarelas = entrada editável)</t>
  </si>
  <si>
    <t xml:space="preserve">Parâmetro</t>
  </si>
  <si>
    <t xml:space="preserve">Fonte / status</t>
  </si>
  <si>
    <t xml:space="preserve">Data-base do cálculo (atualização)</t>
  </si>
  <si>
    <t xml:space="preserve">[SUGESTÃO] Data-base da memória. Alterar para a data do efetivo pagamento.</t>
  </si>
  <si>
    <t xml:space="preserve">Data de saída do Brasil (José)</t>
  </si>
  <si>
    <t xml:space="preserve">[HIPÓTESE] Informada pelo cliente. Os W-7/2018 são de DEPENDENTE (box d) e a data 01/25/2018 é a entrada do dependente. PENDENTE — DOCUMENTO NECESSÁRIO: passaporte / I-94 / passagem do José.</t>
  </si>
  <si>
    <t xml:space="preserve">Início da condição de não residente</t>
  </si>
  <si>
    <t xml:space="preserve">[INFERÊNCIA TÉCNICA] IN SRF 208/2002: sem CSDP, a pessoa passa a não residente a partir do dia em que completa 12 meses consecutivos de ausência. Requer ausência ininterrupta (sem retorno ao BR) — confirmar na fonte oficial.</t>
  </si>
  <si>
    <t xml:space="preserve">Materialidade (recebimento isolado, R$)</t>
  </si>
  <si>
    <t xml:space="preserve">[SUGESTÃO] Valor mínimo para exigir comprovação individual de origem.</t>
  </si>
  <si>
    <t xml:space="preserve">Multa de mora — % ao dia</t>
  </si>
  <si>
    <t xml:space="preserve">Lei 9.430/1996, art. 61 — pagamento espontâneo (confirmar na fonte oficial).</t>
  </si>
  <si>
    <t xml:space="preserve">Multa de mora — teto</t>
  </si>
  <si>
    <t xml:space="preserve">Lei 9.430/1996, art. 61, §2º.</t>
  </si>
  <si>
    <t xml:space="preserve">Multa de ofício (lançamento pela RFB)</t>
  </si>
  <si>
    <t xml:space="preserve">Lei 9.430/1996, art. 44, I — aplicável só se houver lançamento de ofício (não soma com a multa de mora).</t>
  </si>
  <si>
    <t xml:space="preserve">Juros — mês do pagamento</t>
  </si>
  <si>
    <t xml:space="preserve">Lei 9.430/1996, art. 61, §3º c/c art. 5º, §3º: SELIC acumulada do mês seguinte ao vencimento até o mês anterior ao pagamento + 1% no mês do pagamento.</t>
  </si>
  <si>
    <t xml:space="preserve">Alíquota de cenário A — IRRF não residente (outros rendimentos)</t>
  </si>
  <si>
    <t xml:space="preserve">[INFERÊNCIA TÉCNICA] Regra geral de 15% para rendimentos de fonte BR pagos a residente no exterior (RFB — Perguntas e Respostas IRPF; confirmar na fonte oficial).</t>
  </si>
  <si>
    <t xml:space="preserve">Alíquota de cenário B — IRRF não residente (trabalho/serviços)</t>
  </si>
  <si>
    <t xml:space="preserve">[INFERÊNCIA TÉCNICA] 25% para rendimentos do trabalho/serviços pagos a não residente (confirmar na fonte oficial).</t>
  </si>
  <si>
    <t xml:space="preserve">TABELA PROGRESSIVA ANUAL — AC 2018 e AC 2019 (exercícios 2019/2020)</t>
  </si>
  <si>
    <t xml:space="preserve">Faixa — base a partir de (R$)</t>
  </si>
  <si>
    <t xml:space="preserve">Alíquota</t>
  </si>
  <si>
    <t xml:space="preserve">Parcela a deduzir (R$)</t>
  </si>
  <si>
    <t xml:space="preserve">Fonte</t>
  </si>
  <si>
    <t xml:space="preserve">Lei 11.482/2007 art. 1º (valores vigentes 2015–2022; IN RFB 1.871/2019) — confirmar na fonte oficial</t>
  </si>
  <si>
    <t xml:space="preserve">TABELA PROGRESSIVA MENSAL — 2018/2019 (carnê-leão)</t>
  </si>
  <si>
    <t xml:space="preserve">Lei 11.482/2007 art. 1º — confirmar na fonte oficial</t>
  </si>
  <si>
    <t xml:space="preserve">OUTROS PARÂMETROS DO AJUSTE ANUAL AC 2018</t>
  </si>
  <si>
    <t xml:space="preserve">Desconto simplificado — %</t>
  </si>
  <si>
    <t xml:space="preserve">Lei 9.250/1995 art. 10 — confirmar na fonte oficial.</t>
  </si>
  <si>
    <t xml:space="preserve">Desconto simplificado — teto AC 2018 (R$)</t>
  </si>
  <si>
    <t xml:space="preserve">IN RFB 1.871/2019 — confirmar na fonte oficial. (O laudo da Fase 6 NÃO aplicou o teto.)</t>
  </si>
  <si>
    <t xml:space="preserve">Dedução por dependente — anual (R$)</t>
  </si>
  <si>
    <t xml:space="preserve">Lei 9.250/1995 art. 8º, II, c — confirmar na fonte oficial.</t>
  </si>
  <si>
    <t xml:space="preserve">Nº de dependentes elegíveis na DIRPF</t>
  </si>
  <si>
    <t xml:space="preserve">[HIPÓTESE] Márcia, Gabriel e Clara (Form 1040/2018). Elegibilidade na DIRPF depende de CPF e de requisitos legais — confirmar.</t>
  </si>
  <si>
    <t xml:space="preserve">Limite de obrigatoriedade — rend. tributáveis AC 2018/2019 (R$)</t>
  </si>
  <si>
    <t xml:space="preserve">IN RFB 1.871/2019 e IN RFB 1.924/2020 — confirmar na fonte oficial.</t>
  </si>
  <si>
    <t xml:space="preserve">MAED — multa mínima por atraso de declaração (R$)</t>
  </si>
  <si>
    <t xml:space="preserve">Lei 9.250/1995 art. 88 c/c Lei 8.981/1995 art. 27 — 1% a.m. sobre o imposto devido, mínimo R$ 165,74, máximo 20%.</t>
  </si>
  <si>
    <t xml:space="preserve">TABELA DE NATUREZA DOS RECEBIMENTOS (usada na aba 04 — coluna Natureza)</t>
  </si>
  <si>
    <t xml:space="preserve">Código da natureza</t>
  </si>
  <si>
    <t xml:space="preserve">Base de cálculo</t>
  </si>
  <si>
    <t xml:space="preserve">Tributável no BR?</t>
  </si>
  <si>
    <t xml:space="preserve">Fundamento / observação</t>
  </si>
  <si>
    <t xml:space="preserve">INDEFINIDO</t>
  </si>
  <si>
    <t xml:space="preserve">PENDENTE — DOCUMENTO NECESSÁRIO. Entra só nos cenários A/B (exposição), nunca como imposto apurado.</t>
  </si>
  <si>
    <t xml:space="preserve">Ingresso de recursos do exterior (câmbio). Não é renda de fonte BR. Exige contrato de câmbio / comprovante do remetente.</t>
  </si>
  <si>
    <t xml:space="preserve">TRANSF_CONTA_PROPRIA</t>
  </si>
  <si>
    <t xml:space="preserve">Transferência entre contas do próprio titular.</t>
  </si>
  <si>
    <t xml:space="preserve">Transferência da cônjuge (comunhão parcial). Origem dos recursos da cônjuge a comprovar.</t>
  </si>
  <si>
    <t xml:space="preserve">EMPRESTIMO_RECEBIDO</t>
  </si>
  <si>
    <t xml:space="preserve">Mútuo — exige contrato, identificação do mutuante e prova de devolução.</t>
  </si>
  <si>
    <t xml:space="preserve">DEVOLUCAO_EMPRESTIMO</t>
  </si>
  <si>
    <t xml:space="preserve">Devolução de valor emprestado anteriormente — exige prova do empréstimo original.</t>
  </si>
  <si>
    <t xml:space="preserve">DOACAO</t>
  </si>
  <si>
    <t xml:space="preserve">NÃO (IR)</t>
  </si>
  <si>
    <t xml:space="preserve">Fora do IR; sujeita a ITCMD estadual (fora do escopo desta memória).</t>
  </si>
  <si>
    <t xml:space="preserve">Estorno / reembolso de pagamento anterior.</t>
  </si>
  <si>
    <t xml:space="preserve">Aplicação/resgate RDB. O rendimento do RDB sofre IRRF pelo Nubank (verificar informe de rendimentos).</t>
  </si>
  <si>
    <t xml:space="preserve">VENDA_BEM_BR_GCAP</t>
  </si>
  <si>
    <t xml:space="preserve">GANHO</t>
  </si>
  <si>
    <t xml:space="preserve">Ganho de capital de não residente: 15% a 22,5% (Lei 13.259/2016); responsabilidade do adquirente/procurador (Lei 10.833/2003 art. 26) — preencher a coluna 'Base ganho'.</t>
  </si>
  <si>
    <t xml:space="preserve">ALUGUEL_BR</t>
  </si>
  <si>
    <t xml:space="preserve">VALOR</t>
  </si>
  <si>
    <t xml:space="preserve">Aluguel de imóvel no BR pago a não residente — 15% (confirmar na fonte oficial).</t>
  </si>
  <si>
    <t xml:space="preserve">TRABALHO_SERVICO_BR</t>
  </si>
  <si>
    <t xml:space="preserve">Trabalho/serviço pago a não residente — 25% (confirmar na fonte oficial).</t>
  </si>
  <si>
    <t xml:space="preserve">OUTROS_RENDIMENTOS_BR</t>
  </si>
  <si>
    <t xml:space="preserve">Demais rendimentos de fonte BR — 15% (confirmar na fonte oficial).</t>
  </si>
  <si>
    <t xml:space="preserve">Débito na conta — não é rendimento.</t>
  </si>
  <si>
    <t xml:space="preserve">SELIC acumulada no mês (% a.m.) — BCB/SGS série 4390</t>
  </si>
  <si>
    <t xml:space="preserve">Mês (1º dia)</t>
  </si>
  <si>
    <t xml:space="preserve">SELIC % a.m.</t>
  </si>
  <si>
    <t xml:space="preserve">BCB SGS 4390 (api.bcb.gov.br) — consulta 29/09/2026</t>
  </si>
  <si>
    <t xml:space="preserve">BCB SGS 4390 (api.bcb.gov.br) — consulta 29/09/2026 — mês corrente, valor parcial</t>
  </si>
  <si>
    <t xml:space="preserve">Conferir com a tabela de juros SELIC publicada pela RFB antes de emitir DARF.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</si>
</sst>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0"/>
    <numFmt numFmtId="167" formatCode="dd/mm/yyyy"/>
    <numFmt numFmtId="168" formatCode="&quot;US$ &quot;#,##0;&quot;(US$ &quot;#,##0\);\-"/>
    <numFmt numFmtId="169" formatCode="0.00%;\(0.00%\);\-"/>
    <numFmt numFmtId="170" formatCode="0.0000"/>
    <numFmt numFmtId="171" formatCode="@"/>
    <numFmt numFmtId="172" formatCode="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/>
    </row>
    <row r="5" customFormat="false" ht="22.3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22.3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22.3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2" min="11" style="0" width="15"/>
    <col collapsed="false" customWidth="true" hidden="false" outlineLevel="0" max="13" min="13" style="0" width="44"/>
  </cols>
  <sheetData>
    <row r="1" customFormat="false" ht="15" hidden="false" customHeight="false" outlineLevel="0" collapsed="false">
      <c r="A1" s="6" t="s">
        <v>14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8" t="str">
        <f aca="false">"Data-base: "&amp;TEXT(00_PARAMETROS!$B$4,"DD/MM/YYYY")&amp;" — Total payable = somente valores exigíveis e apurados. Cenários = exposição se as entradas PENDENTES forem renda de fonte BR (não é imposto devido)."</f>
        <v>Data-base: 30/09/2026 — Total payable = somente valores exigíveis e apurados. Cenários = exposição se as entradas PENDENTES forem renda de fonte BR (não é imposto devido).</v>
      </c>
    </row>
    <row r="5" customFormat="false" ht="30" hidden="false" customHeight="true" outlineLevel="0" collapsed="false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  <c r="K5" s="9" t="s">
        <v>26</v>
      </c>
      <c r="L5" s="9" t="s">
        <v>27</v>
      </c>
      <c r="M5" s="9" t="s">
        <v>28</v>
      </c>
    </row>
    <row r="6" customFormat="false" ht="15" hidden="false" customHeight="false" outlineLevel="0" collapsed="false">
      <c r="A6" s="10" t="n">
        <v>2018</v>
      </c>
      <c r="B6" s="10" t="str">
        <f aca="false">02_TAX_TIMELINE!B7</f>
        <v>RESIDENTE</v>
      </c>
      <c r="C6" s="11" t="n">
        <f aca="false">07_BRAZIL_TAX_CALCULATION!B22</f>
        <v>92634.55</v>
      </c>
      <c r="D6" s="11" t="n">
        <f aca="false">07_BRAZIL_TAX_CALCULATION!B30</f>
        <v>10434.74</v>
      </c>
      <c r="E6" s="11" t="n">
        <f aca="false">06_FOREIGN_TAX_CREDIT!B14</f>
        <v>0</v>
      </c>
      <c r="F6" s="11" t="n">
        <f aca="false">07_BRAZIL_TAX_CALCULATION!B31</f>
        <v>0</v>
      </c>
      <c r="G6" s="11" t="n">
        <f aca="false">08_INTEREST_PENALTIES!H6</f>
        <v>7167.62</v>
      </c>
      <c r="H6" s="11" t="n">
        <f aca="false">08_INTEREST_PENALTIES!I6</f>
        <v>2086.95</v>
      </c>
      <c r="I6" s="11" t="n">
        <f aca="false">08_INTEREST_PENALTIES!J6</f>
        <v>19689.31</v>
      </c>
      <c r="J6" s="11" t="n">
        <f aca="false">08_INTEREST_PENALTIES!K6</f>
        <v>0</v>
      </c>
      <c r="K6" s="11" t="n">
        <v>0</v>
      </c>
      <c r="L6" s="11" t="n">
        <v>0</v>
      </c>
      <c r="M6" s="10" t="str">
        <f aca="false">02_TAX_TIMELINE!G7&amp;" — informativo"</f>
        <v>DECAÍDO — informativo</v>
      </c>
    </row>
    <row r="7" customFormat="false" ht="15" hidden="false" customHeight="false" outlineLevel="0" collapsed="false">
      <c r="A7" s="10" t="n">
        <v>2019</v>
      </c>
      <c r="B7" s="10" t="str">
        <f aca="false">02_TAX_TIMELINE!B8</f>
        <v>PARCIAL</v>
      </c>
      <c r="C7" s="11" t="n">
        <f aca="false">07_BRAZIL_TAX_CALCULATION!E50+07_BRAZIL_TAX_CALCULATION!B43</f>
        <v>2569.89</v>
      </c>
      <c r="D7" s="11" t="n">
        <f aca="false">07_BRAZIL_TAX_CALCULATION!F50</f>
        <v>0</v>
      </c>
      <c r="E7" s="11" t="n">
        <v>0</v>
      </c>
      <c r="F7" s="11" t="n">
        <v>0</v>
      </c>
      <c r="G7" s="11" t="n">
        <f aca="false">08_INTEREST_PENALTIES!J8-08_INTEREST_PENALTIES!B8</f>
        <v>0</v>
      </c>
      <c r="H7" s="11" t="n">
        <v>0</v>
      </c>
      <c r="I7" s="11" t="n">
        <f aca="false">08_INTEREST_PENALTIES!J8</f>
        <v>0</v>
      </c>
      <c r="J7" s="11" t="n">
        <f aca="false">08_INTEREST_PENALTIES!K8</f>
        <v>0</v>
      </c>
      <c r="K7" s="11" t="n">
        <f aca="false">08_INTEREST_PENALTIES!J9</f>
        <v>0</v>
      </c>
      <c r="L7" s="11" t="n">
        <f aca="false">08_INTEREST_PENALTIES!J10</f>
        <v>0</v>
      </c>
      <c r="M7" s="10" t="str">
        <f aca="false">02_TAX_TIMELINE!G8&amp;IF(07_BRAZIL_TAX_CALCULATION!D50&gt;0," — PENDENTE — DOCUMENTO NECESSÁRIO","")</f>
        <v>DECAÍDO</v>
      </c>
    </row>
    <row r="8" customFormat="false" ht="15" hidden="false" customHeight="false" outlineLevel="0" collapsed="false">
      <c r="A8" s="10" t="n">
        <v>2020</v>
      </c>
      <c r="B8" s="10" t="str">
        <f aca="false">02_TAX_TIMELINE!B9</f>
        <v>NÃO RESIDENTE</v>
      </c>
      <c r="C8" s="11" t="n">
        <f aca="false">07_BRAZIL_TAX_CALCULATION!E51</f>
        <v>0</v>
      </c>
      <c r="D8" s="11" t="n">
        <f aca="false">07_BRAZIL_TAX_CALCULATION!F51</f>
        <v>0</v>
      </c>
      <c r="E8" s="11" t="n">
        <v>0</v>
      </c>
      <c r="F8" s="11" t="n">
        <v>0</v>
      </c>
      <c r="G8" s="11" t="n">
        <f aca="false">08_INTEREST_PENALTIES!J11-08_INTEREST_PENALTIES!B11</f>
        <v>0</v>
      </c>
      <c r="H8" s="11" t="n">
        <v>0</v>
      </c>
      <c r="I8" s="11" t="n">
        <f aca="false">08_INTEREST_PENALTIES!J11</f>
        <v>0</v>
      </c>
      <c r="J8" s="11" t="n">
        <f aca="false">08_INTEREST_PENALTIES!K11</f>
        <v>0</v>
      </c>
      <c r="K8" s="11" t="n">
        <f aca="false">08_INTEREST_PENALTIES!J12</f>
        <v>0</v>
      </c>
      <c r="L8" s="11" t="n">
        <f aca="false">08_INTEREST_PENALTIES!J13</f>
        <v>0</v>
      </c>
      <c r="M8" s="10" t="str">
        <f aca="false">02_TAX_TIMELINE!G9&amp;IF(07_BRAZIL_TAX_CALCULATION!D51&gt;0," — PENDENTE — DOCUMENTO NECESSÁRIO","")</f>
        <v>DECAÍDO</v>
      </c>
    </row>
    <row r="9" customFormat="false" ht="15" hidden="false" customHeight="false" outlineLevel="0" collapsed="false">
      <c r="A9" s="10" t="n">
        <v>2021</v>
      </c>
      <c r="B9" s="10" t="str">
        <f aca="false">02_TAX_TIMELINE!B10</f>
        <v>NÃO RESIDENTE</v>
      </c>
      <c r="C9" s="11" t="n">
        <f aca="false">07_BRAZIL_TAX_CALCULATION!E52</f>
        <v>0</v>
      </c>
      <c r="D9" s="11" t="n">
        <f aca="false">07_BRAZIL_TAX_CALCULATION!F52</f>
        <v>0</v>
      </c>
      <c r="E9" s="11" t="n">
        <v>0</v>
      </c>
      <c r="F9" s="11" t="n">
        <v>0</v>
      </c>
      <c r="G9" s="11" t="n">
        <f aca="false">08_INTEREST_PENALTIES!J14-08_INTEREST_PENALTIES!B14</f>
        <v>0</v>
      </c>
      <c r="H9" s="11" t="n">
        <v>0</v>
      </c>
      <c r="I9" s="11" t="n">
        <f aca="false">08_INTEREST_PENALTIES!J14</f>
        <v>0</v>
      </c>
      <c r="J9" s="11" t="n">
        <f aca="false">08_INTEREST_PENALTIES!K14</f>
        <v>0</v>
      </c>
      <c r="K9" s="11" t="n">
        <f aca="false">08_INTEREST_PENALTIES!J15</f>
        <v>0</v>
      </c>
      <c r="L9" s="11" t="n">
        <f aca="false">08_INTEREST_PENALTIES!J16</f>
        <v>0</v>
      </c>
      <c r="M9" s="10" t="str">
        <f aca="false">02_TAX_TIMELINE!G10&amp;IF(07_BRAZIL_TAX_CALCULATION!D52&gt;0," — PENDENTE — DOCUMENTO NECESSÁRIO","")</f>
        <v>ABERTO</v>
      </c>
    </row>
    <row r="10" customFormat="false" ht="15" hidden="false" customHeight="false" outlineLevel="0" collapsed="false">
      <c r="A10" s="10" t="n">
        <v>2022</v>
      </c>
      <c r="B10" s="10" t="str">
        <f aca="false">02_TAX_TIMELINE!B11</f>
        <v>NÃO RESIDENTE</v>
      </c>
      <c r="C10" s="11" t="n">
        <f aca="false">07_BRAZIL_TAX_CALCULATION!E53</f>
        <v>0</v>
      </c>
      <c r="D10" s="11" t="n">
        <f aca="false">07_BRAZIL_TAX_CALCULATION!F53</f>
        <v>0</v>
      </c>
      <c r="E10" s="11" t="n">
        <v>0</v>
      </c>
      <c r="F10" s="11" t="n">
        <v>0</v>
      </c>
      <c r="G10" s="11" t="n">
        <f aca="false">08_INTEREST_PENALTIES!J17-08_INTEREST_PENALTIES!B17</f>
        <v>0</v>
      </c>
      <c r="H10" s="11" t="n">
        <v>0</v>
      </c>
      <c r="I10" s="11" t="n">
        <f aca="false">08_INTEREST_PENALTIES!J17</f>
        <v>0</v>
      </c>
      <c r="J10" s="11" t="n">
        <f aca="false">08_INTEREST_PENALTIES!K17</f>
        <v>0</v>
      </c>
      <c r="K10" s="11" t="n">
        <f aca="false">08_INTEREST_PENALTIES!J18</f>
        <v>0</v>
      </c>
      <c r="L10" s="11" t="n">
        <f aca="false">08_INTEREST_PENALTIES!J19</f>
        <v>0</v>
      </c>
      <c r="M10" s="10" t="str">
        <f aca="false">02_TAX_TIMELINE!G11&amp;IF(07_BRAZIL_TAX_CALCULATION!D53&gt;0," — PENDENTE — DOCUMENTO NECESSÁRIO","")</f>
        <v>ABERTO</v>
      </c>
    </row>
    <row r="11" customFormat="false" ht="15" hidden="false" customHeight="false" outlineLevel="0" collapsed="false">
      <c r="A11" s="10" t="n">
        <v>2023</v>
      </c>
      <c r="B11" s="10" t="str">
        <f aca="false">02_TAX_TIMELINE!B12</f>
        <v>NÃO RESIDENTE</v>
      </c>
      <c r="C11" s="11" t="n">
        <f aca="false">07_BRAZIL_TAX_CALCULATION!E54</f>
        <v>0</v>
      </c>
      <c r="D11" s="11" t="n">
        <f aca="false">07_BRAZIL_TAX_CALCULATION!F54</f>
        <v>0</v>
      </c>
      <c r="E11" s="11" t="n">
        <v>0</v>
      </c>
      <c r="F11" s="11" t="n">
        <v>0</v>
      </c>
      <c r="G11" s="11" t="n">
        <f aca="false">08_INTEREST_PENALTIES!J20-08_INTEREST_PENALTIES!B20</f>
        <v>0</v>
      </c>
      <c r="H11" s="11" t="n">
        <v>0</v>
      </c>
      <c r="I11" s="11" t="n">
        <f aca="false">08_INTEREST_PENALTIES!J20</f>
        <v>0</v>
      </c>
      <c r="J11" s="11" t="n">
        <f aca="false">08_INTEREST_PENALTIES!K20</f>
        <v>0</v>
      </c>
      <c r="K11" s="11" t="n">
        <f aca="false">08_INTEREST_PENALTIES!J21</f>
        <v>0</v>
      </c>
      <c r="L11" s="11" t="n">
        <f aca="false">08_INTEREST_PENALTIES!J22</f>
        <v>0</v>
      </c>
      <c r="M11" s="10" t="str">
        <f aca="false">02_TAX_TIMELINE!G12&amp;IF(07_BRAZIL_TAX_CALCULATION!D54&gt;0," — PENDENTE — DOCUMENTO NECESSÁRIO","")</f>
        <v>ABERTO</v>
      </c>
    </row>
    <row r="12" customFormat="false" ht="15" hidden="false" customHeight="false" outlineLevel="0" collapsed="false">
      <c r="A12" s="10" t="n">
        <v>2024</v>
      </c>
      <c r="B12" s="10" t="str">
        <f aca="false">02_TAX_TIMELINE!B13</f>
        <v>NÃO RESIDENTE</v>
      </c>
      <c r="C12" s="11" t="n">
        <f aca="false">07_BRAZIL_TAX_CALCULATION!E55</f>
        <v>0</v>
      </c>
      <c r="D12" s="11" t="n">
        <f aca="false">07_BRAZIL_TAX_CALCULATION!F55</f>
        <v>0</v>
      </c>
      <c r="E12" s="11" t="n">
        <v>0</v>
      </c>
      <c r="F12" s="11" t="n">
        <v>0</v>
      </c>
      <c r="G12" s="11" t="n">
        <f aca="false">08_INTEREST_PENALTIES!J23-08_INTEREST_PENALTIES!B23</f>
        <v>0</v>
      </c>
      <c r="H12" s="11" t="n">
        <v>0</v>
      </c>
      <c r="I12" s="11" t="n">
        <f aca="false">08_INTEREST_PENALTIES!J23</f>
        <v>0</v>
      </c>
      <c r="J12" s="11" t="n">
        <f aca="false">08_INTEREST_PENALTIES!K23</f>
        <v>0</v>
      </c>
      <c r="K12" s="11" t="n">
        <f aca="false">08_INTEREST_PENALTIES!J24</f>
        <v>10275.31</v>
      </c>
      <c r="L12" s="11" t="n">
        <f aca="false">08_INTEREST_PENALTIES!J25</f>
        <v>17125.53</v>
      </c>
      <c r="M12" s="10" t="str">
        <f aca="false">02_TAX_TIMELINE!G13&amp;IF(07_BRAZIL_TAX_CALCULATION!D55&gt;0," — PENDENTE — DOCUMENTO NECESSÁRIO","")</f>
        <v>ABERTO — PENDENTE — DOCUMENTO NECESSÁRIO</v>
      </c>
    </row>
    <row r="13" customFormat="false" ht="15" hidden="false" customHeight="false" outlineLevel="0" collapsed="false">
      <c r="A13" s="10" t="n">
        <v>2025</v>
      </c>
      <c r="B13" s="10" t="str">
        <f aca="false">02_TAX_TIMELINE!B14</f>
        <v>NÃO RESIDENTE</v>
      </c>
      <c r="C13" s="11" t="n">
        <f aca="false">07_BRAZIL_TAX_CALCULATION!E56</f>
        <v>0</v>
      </c>
      <c r="D13" s="11" t="n">
        <f aca="false">07_BRAZIL_TAX_CALCULATION!F56</f>
        <v>0</v>
      </c>
      <c r="E13" s="11" t="n">
        <v>0</v>
      </c>
      <c r="F13" s="11" t="n">
        <v>0</v>
      </c>
      <c r="G13" s="11" t="n">
        <f aca="false">08_INTEREST_PENALTIES!J26-08_INTEREST_PENALTIES!B26</f>
        <v>0</v>
      </c>
      <c r="H13" s="11" t="n">
        <v>0</v>
      </c>
      <c r="I13" s="11" t="n">
        <f aca="false">08_INTEREST_PENALTIES!J26</f>
        <v>0</v>
      </c>
      <c r="J13" s="11" t="n">
        <f aca="false">08_INTEREST_PENALTIES!K26</f>
        <v>0</v>
      </c>
      <c r="K13" s="11" t="n">
        <f aca="false">08_INTEREST_PENALTIES!J27</f>
        <v>117339.42</v>
      </c>
      <c r="L13" s="11" t="n">
        <f aca="false">08_INTEREST_PENALTIES!J28</f>
        <v>195565.68</v>
      </c>
      <c r="M13" s="10" t="str">
        <f aca="false">02_TAX_TIMELINE!G14&amp;IF(07_BRAZIL_TAX_CALCULATION!D56&gt;0," — PENDENTE — DOCUMENTO NECESSÁRIO","")</f>
        <v>ABERTO — PENDENTE — DOCUMENTO NECESSÁRIO</v>
      </c>
    </row>
    <row r="14" customFormat="false" ht="15" hidden="false" customHeight="false" outlineLevel="0" collapsed="false">
      <c r="A14" s="10" t="n">
        <v>2026</v>
      </c>
      <c r="B14" s="10" t="str">
        <f aca="false">02_TAX_TIMELINE!B15</f>
        <v>NÃO RESIDENTE</v>
      </c>
      <c r="C14" s="11" t="n">
        <f aca="false">07_BRAZIL_TAX_CALCULATION!E57</f>
        <v>0</v>
      </c>
      <c r="D14" s="11" t="n">
        <f aca="false">07_BRAZIL_TAX_CALCULATION!F57</f>
        <v>0</v>
      </c>
      <c r="E14" s="11" t="n">
        <v>0</v>
      </c>
      <c r="F14" s="11" t="n">
        <v>0</v>
      </c>
      <c r="G14" s="11" t="n">
        <f aca="false">08_INTEREST_PENALTIES!J29-08_INTEREST_PENALTIES!B29</f>
        <v>0</v>
      </c>
      <c r="H14" s="11" t="n">
        <v>0</v>
      </c>
      <c r="I14" s="11" t="n">
        <f aca="false">08_INTEREST_PENALTIES!J29</f>
        <v>0</v>
      </c>
      <c r="J14" s="11" t="n">
        <f aca="false">08_INTEREST_PENALTIES!K29</f>
        <v>0</v>
      </c>
      <c r="K14" s="11" t="n">
        <f aca="false">08_INTEREST_PENALTIES!J30</f>
        <v>1506</v>
      </c>
      <c r="L14" s="11" t="n">
        <f aca="false">08_INTEREST_PENALTIES!J31</f>
        <v>2510</v>
      </c>
      <c r="M14" s="10" t="str">
        <f aca="false">02_TAX_TIMELINE!G15&amp;IF(07_BRAZIL_TAX_CALCULATION!D57&gt;0," — PENDENTE — DOCUMENTO NECESSÁRIO","")</f>
        <v>ABERTO — PENDENTE — DOCUMENTO NECESSÁRIO</v>
      </c>
    </row>
    <row r="15" customFormat="false" ht="15" hidden="false" customHeight="false" outlineLevel="0" collapsed="false">
      <c r="A15" s="12" t="s">
        <v>29</v>
      </c>
      <c r="B15" s="13"/>
      <c r="C15" s="14" t="n">
        <f aca="false">SUM(C6:C14)</f>
        <v>95204.44</v>
      </c>
      <c r="D15" s="14" t="n">
        <f aca="false">SUM(D6:D14)</f>
        <v>10434.74</v>
      </c>
      <c r="E15" s="14" t="n">
        <f aca="false">SUM(E6:E14)</f>
        <v>0</v>
      </c>
      <c r="F15" s="14" t="n">
        <f aca="false">SUM(F6:F14)</f>
        <v>0</v>
      </c>
      <c r="G15" s="14" t="n">
        <f aca="false">SUM(G6:G14)</f>
        <v>7167.62</v>
      </c>
      <c r="H15" s="14" t="n">
        <f aca="false">SUM(H6:H14)</f>
        <v>2086.95</v>
      </c>
      <c r="I15" s="14" t="n">
        <f aca="false">SUM(I6:I14)</f>
        <v>19689.31</v>
      </c>
      <c r="J15" s="14" t="n">
        <f aca="false">SUM(J6:J14)</f>
        <v>0</v>
      </c>
      <c r="K15" s="14" t="n">
        <f aca="false">SUM(K6:K14)</f>
        <v>129120.73</v>
      </c>
      <c r="L15" s="14" t="n">
        <f aca="false">SUM(L6:L14)</f>
        <v>215201.21</v>
      </c>
      <c r="M15" s="13"/>
    </row>
    <row r="17" customFormat="false" ht="15" hidden="false" customHeight="false" outlineLevel="0" collapsed="false">
      <c r="A17" s="7" t="s">
        <v>30</v>
      </c>
    </row>
    <row r="19" customFormat="false" ht="32.8" hidden="false" customHeight="false" outlineLevel="0" collapsed="false">
      <c r="A19" s="15" t="s">
        <v>31</v>
      </c>
    </row>
    <row r="20" customFormat="false" ht="22.35" hidden="false" customHeight="true" outlineLevel="0" collapsed="false">
      <c r="A20" s="16" t="s">
        <v>32</v>
      </c>
      <c r="B20" s="16"/>
      <c r="C20" s="16"/>
      <c r="D20" s="16"/>
      <c r="E20" s="17" t="n">
        <f aca="false">04_BANK_TRANSACTIONS!F171</f>
        <v>623510</v>
      </c>
    </row>
    <row r="21" customFormat="false" ht="15" hidden="false" customHeight="true" outlineLevel="0" collapsed="false">
      <c r="A21" s="16" t="s">
        <v>33</v>
      </c>
      <c r="B21" s="16"/>
      <c r="C21" s="16"/>
      <c r="D21" s="16"/>
      <c r="E21" s="18" t="n">
        <f aca="false">04_BANK_TRANSACTIONS!F172</f>
        <v>15</v>
      </c>
    </row>
    <row r="22" customFormat="false" ht="15" hidden="false" customHeight="true" outlineLevel="0" collapsed="false">
      <c r="A22" s="16" t="s">
        <v>34</v>
      </c>
      <c r="B22" s="16"/>
      <c r="C22" s="16"/>
      <c r="D22" s="16"/>
      <c r="E22" s="17" t="n">
        <f aca="false">09_REAL_ESTATE!D7</f>
        <v>1620265</v>
      </c>
    </row>
    <row r="23" customFormat="false" ht="22.35" hidden="false" customHeight="true" outlineLevel="0" collapsed="false">
      <c r="A23" s="16" t="s">
        <v>35</v>
      </c>
      <c r="B23" s="16"/>
      <c r="C23" s="16"/>
      <c r="D23" s="16"/>
      <c r="E23" s="17" t="n">
        <f aca="false">09_REAL_ESTATE!D12</f>
        <v>219215</v>
      </c>
    </row>
    <row r="24" customFormat="false" ht="15" hidden="false" customHeight="true" outlineLevel="0" collapsed="false">
      <c r="A24" s="16" t="s">
        <v>36</v>
      </c>
      <c r="B24" s="16"/>
      <c r="C24" s="16"/>
      <c r="D24" s="16"/>
      <c r="E24" s="18" t="n">
        <f aca="false">COUNTIFS(11_RISKS!D:D,"ALTO",11_RISKS!H:H,"ABERTO")+COUNTIFS(11_RISKS!D:D,"CRÍTICO",11_RISKS!H:H,"ABERTO")</f>
        <v>5</v>
      </c>
    </row>
  </sheetData>
  <mergeCells count="5"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58"/>
  </cols>
  <sheetData>
    <row r="1" customFormat="false" ht="15" hidden="false" customHeight="false" outlineLevel="0" collapsed="false">
      <c r="A1" s="6" t="s">
        <v>37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8" t="s">
        <v>38</v>
      </c>
    </row>
    <row r="4" customFormat="false" ht="30" hidden="false" customHeight="true" outlineLevel="0" collapsed="false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</row>
    <row r="5" customFormat="false" ht="22.35" hidden="false" customHeight="false" outlineLevel="0" collapsed="false">
      <c r="A5" s="10" t="n">
        <v>2016</v>
      </c>
      <c r="B5" s="10" t="s">
        <v>49</v>
      </c>
      <c r="C5" s="10" t="s">
        <v>50</v>
      </c>
      <c r="D5" s="10" t="s">
        <v>51</v>
      </c>
      <c r="E5" s="19" t="n">
        <v>42853</v>
      </c>
      <c r="F5" s="19" t="n">
        <f aca="false">DATE(A5+6,12,31)</f>
        <v>44926</v>
      </c>
      <c r="G5" s="10" t="str">
        <f aca="false">IF(00_PARAMETROS!$B$4&gt;F5,"DECAÍDO","ABERTO")</f>
        <v>DECAÍDO</v>
      </c>
      <c r="H5" s="10" t="s">
        <v>52</v>
      </c>
      <c r="I5" s="10" t="s">
        <v>53</v>
      </c>
      <c r="J5" s="10" t="s">
        <v>54</v>
      </c>
    </row>
    <row r="6" customFormat="false" ht="22.35" hidden="false" customHeight="false" outlineLevel="0" collapsed="false">
      <c r="A6" s="10" t="n">
        <v>2017</v>
      </c>
      <c r="B6" s="10" t="s">
        <v>49</v>
      </c>
      <c r="C6" s="10" t="s">
        <v>55</v>
      </c>
      <c r="D6" s="10" t="s">
        <v>56</v>
      </c>
      <c r="E6" s="19" t="n">
        <v>43220</v>
      </c>
      <c r="F6" s="19" t="n">
        <f aca="false">DATE(A6+6,12,31)</f>
        <v>45291</v>
      </c>
      <c r="G6" s="10" t="str">
        <f aca="false">IF(00_PARAMETROS!$B$4&gt;F6,"DECAÍDO","ABERTO")</f>
        <v>DECAÍDO</v>
      </c>
      <c r="H6" s="10" t="s">
        <v>52</v>
      </c>
      <c r="I6" s="10" t="s">
        <v>53</v>
      </c>
      <c r="J6" s="10" t="s">
        <v>57</v>
      </c>
    </row>
    <row r="7" customFormat="false" ht="22.35" hidden="false" customHeight="false" outlineLevel="0" collapsed="false">
      <c r="A7" s="10" t="n">
        <v>2018</v>
      </c>
      <c r="B7" s="10" t="s">
        <v>49</v>
      </c>
      <c r="C7" s="10" t="s">
        <v>58</v>
      </c>
      <c r="D7" s="10" t="s">
        <v>59</v>
      </c>
      <c r="E7" s="19" t="n">
        <v>43585</v>
      </c>
      <c r="F7" s="19" t="n">
        <f aca="false">DATE(A7+6,12,31)</f>
        <v>45657</v>
      </c>
      <c r="G7" s="10" t="str">
        <f aca="false">IF(00_PARAMETROS!$B$4&gt;F7,"DECAÍDO","ABERTO")</f>
        <v>DECAÍDO</v>
      </c>
      <c r="H7" s="10" t="s">
        <v>60</v>
      </c>
      <c r="I7" s="10" t="s">
        <v>61</v>
      </c>
      <c r="J7" s="10" t="s">
        <v>62</v>
      </c>
    </row>
    <row r="8" customFormat="false" ht="32.8" hidden="false" customHeight="false" outlineLevel="0" collapsed="false">
      <c r="A8" s="10" t="n">
        <v>2019</v>
      </c>
      <c r="B8" s="10" t="s">
        <v>63</v>
      </c>
      <c r="C8" s="10" t="s">
        <v>64</v>
      </c>
      <c r="D8" s="10" t="s">
        <v>65</v>
      </c>
      <c r="E8" s="19" t="n">
        <v>44012</v>
      </c>
      <c r="F8" s="19" t="n">
        <f aca="false">DATE(YEAR(E8)+5,12,31)</f>
        <v>46022</v>
      </c>
      <c r="G8" s="10" t="str">
        <f aca="false">IF(00_PARAMETROS!$B$4&gt;F8,"DECAÍDO","ABERTO")</f>
        <v>DECAÍDO</v>
      </c>
      <c r="H8" s="10" t="s">
        <v>66</v>
      </c>
      <c r="I8" s="10" t="s">
        <v>53</v>
      </c>
      <c r="J8" s="10" t="s">
        <v>67</v>
      </c>
    </row>
    <row r="9" customFormat="false" ht="15" hidden="false" customHeight="false" outlineLevel="0" collapsed="false">
      <c r="A9" s="10" t="n">
        <v>2020</v>
      </c>
      <c r="B9" s="10" t="s">
        <v>68</v>
      </c>
      <c r="C9" s="10" t="s">
        <v>69</v>
      </c>
      <c r="D9" s="10" t="s">
        <v>70</v>
      </c>
      <c r="E9" s="19"/>
      <c r="F9" s="19" t="n">
        <f aca="false">DATE(A9+5,12,31)</f>
        <v>46022</v>
      </c>
      <c r="G9" s="10" t="str">
        <f aca="false">IF(00_PARAMETROS!$B$4&gt;F9,"DECAÍDO","ABERTO")</f>
        <v>DECAÍDO</v>
      </c>
      <c r="H9" s="10" t="s">
        <v>71</v>
      </c>
      <c r="I9" s="10" t="s">
        <v>53</v>
      </c>
      <c r="J9" s="10" t="s">
        <v>72</v>
      </c>
    </row>
    <row r="10" customFormat="false" ht="15" hidden="false" customHeight="false" outlineLevel="0" collapsed="false">
      <c r="A10" s="10" t="n">
        <v>2021</v>
      </c>
      <c r="B10" s="10" t="s">
        <v>68</v>
      </c>
      <c r="C10" s="10" t="s">
        <v>69</v>
      </c>
      <c r="D10" s="10" t="s">
        <v>70</v>
      </c>
      <c r="E10" s="19"/>
      <c r="F10" s="19" t="n">
        <f aca="false">DATE(A10+5,12,31)</f>
        <v>46387</v>
      </c>
      <c r="G10" s="10" t="str">
        <f aca="false">IF(00_PARAMETROS!$B$4&gt;F10,"DECAÍDO","ABERTO")</f>
        <v>ABERTO</v>
      </c>
      <c r="H10" s="10" t="s">
        <v>71</v>
      </c>
      <c r="I10" s="10" t="s">
        <v>53</v>
      </c>
      <c r="J10" s="10" t="s">
        <v>73</v>
      </c>
    </row>
    <row r="11" customFormat="false" ht="22.35" hidden="false" customHeight="false" outlineLevel="0" collapsed="false">
      <c r="A11" s="10" t="n">
        <v>2022</v>
      </c>
      <c r="B11" s="10" t="s">
        <v>68</v>
      </c>
      <c r="C11" s="10" t="s">
        <v>69</v>
      </c>
      <c r="D11" s="10" t="s">
        <v>70</v>
      </c>
      <c r="E11" s="19"/>
      <c r="F11" s="19" t="n">
        <f aca="false">DATE(A11+5,12,31)</f>
        <v>46752</v>
      </c>
      <c r="G11" s="10" t="str">
        <f aca="false">IF(00_PARAMETROS!$B$4&gt;F11,"DECAÍDO","ABERTO")</f>
        <v>ABERTO</v>
      </c>
      <c r="H11" s="10" t="s">
        <v>71</v>
      </c>
      <c r="I11" s="10" t="s">
        <v>53</v>
      </c>
      <c r="J11" s="10" t="s">
        <v>74</v>
      </c>
    </row>
    <row r="12" customFormat="false" ht="15" hidden="false" customHeight="false" outlineLevel="0" collapsed="false">
      <c r="A12" s="10" t="n">
        <v>2023</v>
      </c>
      <c r="B12" s="10" t="s">
        <v>68</v>
      </c>
      <c r="C12" s="10" t="s">
        <v>69</v>
      </c>
      <c r="D12" s="10" t="s">
        <v>70</v>
      </c>
      <c r="E12" s="19"/>
      <c r="F12" s="19" t="n">
        <f aca="false">DATE(A12+5,12,31)</f>
        <v>47118</v>
      </c>
      <c r="G12" s="10" t="str">
        <f aca="false">IF(00_PARAMETROS!$B$4&gt;F12,"DECAÍDO","ABERTO")</f>
        <v>ABERTO</v>
      </c>
      <c r="H12" s="10" t="s">
        <v>71</v>
      </c>
      <c r="I12" s="10" t="s">
        <v>61</v>
      </c>
      <c r="J12" s="10" t="s">
        <v>75</v>
      </c>
    </row>
    <row r="13" customFormat="false" ht="22.35" hidden="false" customHeight="false" outlineLevel="0" collapsed="false">
      <c r="A13" s="10" t="n">
        <v>2024</v>
      </c>
      <c r="B13" s="10" t="s">
        <v>68</v>
      </c>
      <c r="C13" s="10" t="s">
        <v>69</v>
      </c>
      <c r="D13" s="10" t="s">
        <v>70</v>
      </c>
      <c r="E13" s="19"/>
      <c r="F13" s="19" t="n">
        <f aca="false">DATE(A13+5,12,31)</f>
        <v>47483</v>
      </c>
      <c r="G13" s="10" t="str">
        <f aca="false">IF(00_PARAMETROS!$B$4&gt;F13,"DECAÍDO","ABERTO")</f>
        <v>ABERTO</v>
      </c>
      <c r="H13" s="10" t="s">
        <v>71</v>
      </c>
      <c r="I13" s="10" t="s">
        <v>76</v>
      </c>
      <c r="J13" s="10" t="s">
        <v>77</v>
      </c>
    </row>
    <row r="14" customFormat="false" ht="22.35" hidden="false" customHeight="false" outlineLevel="0" collapsed="false">
      <c r="A14" s="10" t="n">
        <v>2025</v>
      </c>
      <c r="B14" s="10" t="s">
        <v>68</v>
      </c>
      <c r="C14" s="10" t="s">
        <v>69</v>
      </c>
      <c r="D14" s="10" t="s">
        <v>78</v>
      </c>
      <c r="E14" s="19"/>
      <c r="F14" s="19" t="n">
        <f aca="false">DATE(A14+5,12,31)</f>
        <v>47848</v>
      </c>
      <c r="G14" s="10" t="str">
        <f aca="false">IF(00_PARAMETROS!$B$4&gt;F14,"DECAÍDO","ABERTO")</f>
        <v>ABERTO</v>
      </c>
      <c r="H14" s="10" t="s">
        <v>71</v>
      </c>
      <c r="I14" s="10" t="s">
        <v>76</v>
      </c>
      <c r="J14" s="10" t="s">
        <v>79</v>
      </c>
    </row>
    <row r="15" customFormat="false" ht="22.35" hidden="false" customHeight="false" outlineLevel="0" collapsed="false">
      <c r="A15" s="10" t="n">
        <v>2026</v>
      </c>
      <c r="B15" s="10" t="s">
        <v>68</v>
      </c>
      <c r="C15" s="10" t="s">
        <v>80</v>
      </c>
      <c r="D15" s="10" t="s">
        <v>70</v>
      </c>
      <c r="E15" s="19"/>
      <c r="F15" s="19" t="n">
        <f aca="false">DATE(A15+5,12,31)</f>
        <v>48213</v>
      </c>
      <c r="G15" s="10" t="str">
        <f aca="false">IF(00_PARAMETROS!$B$4&gt;F15,"DECAÍDO","ABERTO")</f>
        <v>ABERTO</v>
      </c>
      <c r="H15" s="10" t="s">
        <v>71</v>
      </c>
      <c r="I15" s="10" t="s">
        <v>61</v>
      </c>
      <c r="J15" s="1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46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6" t="s">
        <v>82</v>
      </c>
    </row>
    <row r="2" customFormat="false" ht="15" hidden="false" customHeight="false" outlineLevel="0" collapsed="false">
      <c r="A2" s="7" t="s">
        <v>15</v>
      </c>
    </row>
    <row r="4" customFormat="false" ht="30" hidden="false" customHeight="true" outlineLevel="0" collapsed="false">
      <c r="A4" s="9" t="s">
        <v>83</v>
      </c>
      <c r="B4" s="9" t="s">
        <v>41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91</v>
      </c>
      <c r="K4" s="9" t="s">
        <v>28</v>
      </c>
    </row>
    <row r="5" customFormat="false" ht="22.35" hidden="false" customHeight="false" outlineLevel="0" collapsed="false">
      <c r="A5" s="10" t="s">
        <v>92</v>
      </c>
      <c r="B5" s="10" t="s">
        <v>93</v>
      </c>
      <c r="C5" s="10" t="s">
        <v>94</v>
      </c>
      <c r="D5" s="10" t="s">
        <v>95</v>
      </c>
      <c r="E5" s="10" t="s">
        <v>96</v>
      </c>
      <c r="F5" s="20" t="n">
        <f aca="false">05_US_TAXES!D5</f>
        <v>25628</v>
      </c>
      <c r="G5" s="10" t="s">
        <v>97</v>
      </c>
      <c r="H5" s="11" t="n">
        <f aca="false">07_BRAZIL_TAX_CALCULATION!E17</f>
        <v>92634.55</v>
      </c>
      <c r="I5" s="10" t="str">
        <f aca="false">02_TAX_TIMELINE!B7</f>
        <v>RESIDENTE</v>
      </c>
      <c r="J5" s="10" t="s">
        <v>98</v>
      </c>
      <c r="K5" s="10" t="s">
        <v>99</v>
      </c>
    </row>
    <row r="6" customFormat="false" ht="22.35" hidden="false" customHeight="false" outlineLevel="0" collapsed="false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96</v>
      </c>
      <c r="F6" s="20" t="n">
        <f aca="false">05_US_TAXES!D6</f>
        <v>10000</v>
      </c>
      <c r="G6" s="10" t="s">
        <v>97</v>
      </c>
      <c r="H6" s="11" t="n">
        <f aca="false">07_BRAZIL_TAX_CALCULATION!B43</f>
        <v>2569.89</v>
      </c>
      <c r="I6" s="10" t="str">
        <f aca="false">02_TAX_TIMELINE!B8</f>
        <v>PARCIAL</v>
      </c>
      <c r="J6" s="10" t="s">
        <v>104</v>
      </c>
      <c r="K6" s="10" t="s">
        <v>99</v>
      </c>
    </row>
    <row r="7" customFormat="false" ht="22.35" hidden="false" customHeight="false" outlineLevel="0" collapsed="false">
      <c r="A7" s="10" t="s">
        <v>105</v>
      </c>
      <c r="B7" s="10" t="s">
        <v>106</v>
      </c>
      <c r="C7" s="10" t="s">
        <v>94</v>
      </c>
      <c r="D7" s="10" t="s">
        <v>103</v>
      </c>
      <c r="E7" s="10" t="s">
        <v>96</v>
      </c>
      <c r="F7" s="20" t="n">
        <f aca="false">05_US_TAXES!D7</f>
        <v>30152</v>
      </c>
      <c r="G7" s="10" t="s">
        <v>107</v>
      </c>
      <c r="H7" s="11"/>
      <c r="I7" s="10" t="str">
        <f aca="false">02_TAX_TIMELINE!B9</f>
        <v>NÃO RESIDENTE</v>
      </c>
      <c r="J7" s="10" t="s">
        <v>108</v>
      </c>
      <c r="K7" s="10" t="s">
        <v>99</v>
      </c>
    </row>
    <row r="8" customFormat="false" ht="22.35" hidden="false" customHeight="false" outlineLevel="0" collapsed="false">
      <c r="A8" s="10" t="s">
        <v>109</v>
      </c>
      <c r="B8" s="10" t="s">
        <v>110</v>
      </c>
      <c r="C8" s="10" t="s">
        <v>94</v>
      </c>
      <c r="D8" s="10" t="s">
        <v>103</v>
      </c>
      <c r="E8" s="10" t="s">
        <v>96</v>
      </c>
      <c r="F8" s="20" t="n">
        <f aca="false">05_US_TAXES!D8</f>
        <v>35335</v>
      </c>
      <c r="G8" s="10" t="s">
        <v>107</v>
      </c>
      <c r="H8" s="11"/>
      <c r="I8" s="10" t="str">
        <f aca="false">02_TAX_TIMELINE!B10</f>
        <v>NÃO RESIDENTE</v>
      </c>
      <c r="J8" s="10" t="s">
        <v>108</v>
      </c>
      <c r="K8" s="10" t="s">
        <v>111</v>
      </c>
    </row>
    <row r="9" customFormat="false" ht="32.8" hidden="false" customHeight="false" outlineLevel="0" collapsed="false">
      <c r="A9" s="10" t="s">
        <v>112</v>
      </c>
      <c r="B9" s="10" t="s">
        <v>113</v>
      </c>
      <c r="C9" s="10" t="s">
        <v>94</v>
      </c>
      <c r="D9" s="10" t="s">
        <v>103</v>
      </c>
      <c r="E9" s="10" t="s">
        <v>96</v>
      </c>
      <c r="F9" s="20" t="n">
        <f aca="false">05_US_TAXES!D9</f>
        <v>40550</v>
      </c>
      <c r="G9" s="10" t="s">
        <v>107</v>
      </c>
      <c r="H9" s="11"/>
      <c r="I9" s="10" t="str">
        <f aca="false">02_TAX_TIMELINE!B11</f>
        <v>NÃO RESIDENTE</v>
      </c>
      <c r="J9" s="10" t="s">
        <v>108</v>
      </c>
      <c r="K9" s="10" t="s">
        <v>114</v>
      </c>
    </row>
    <row r="10" customFormat="false" ht="22.35" hidden="false" customHeight="false" outlineLevel="0" collapsed="false">
      <c r="A10" s="10" t="s">
        <v>115</v>
      </c>
      <c r="B10" s="10" t="s">
        <v>116</v>
      </c>
      <c r="C10" s="10" t="s">
        <v>94</v>
      </c>
      <c r="D10" s="10" t="s">
        <v>117</v>
      </c>
      <c r="E10" s="10" t="s">
        <v>96</v>
      </c>
      <c r="F10" s="20" t="n">
        <f aca="false">05_US_TAXES!D10</f>
        <v>75383</v>
      </c>
      <c r="G10" s="10" t="s">
        <v>107</v>
      </c>
      <c r="H10" s="11"/>
      <c r="I10" s="10" t="str">
        <f aca="false">02_TAX_TIMELINE!B12</f>
        <v>NÃO RESIDENTE</v>
      </c>
      <c r="J10" s="10" t="s">
        <v>108</v>
      </c>
      <c r="K10" s="10" t="s">
        <v>118</v>
      </c>
    </row>
    <row r="11" customFormat="false" ht="43.25" hidden="false" customHeight="false" outlineLevel="0" collapsed="false">
      <c r="A11" s="10" t="s">
        <v>119</v>
      </c>
      <c r="B11" s="10" t="s">
        <v>120</v>
      </c>
      <c r="C11" s="10" t="s">
        <v>94</v>
      </c>
      <c r="D11" s="10" t="s">
        <v>121</v>
      </c>
      <c r="E11" s="10" t="s">
        <v>96</v>
      </c>
      <c r="F11" s="20" t="n">
        <f aca="false">05_US_TAXES!D11</f>
        <v>82153</v>
      </c>
      <c r="G11" s="10" t="s">
        <v>107</v>
      </c>
      <c r="H11" s="11"/>
      <c r="I11" s="10" t="str">
        <f aca="false">02_TAX_TIMELINE!B13</f>
        <v>NÃO RESIDENTE</v>
      </c>
      <c r="J11" s="10" t="s">
        <v>108</v>
      </c>
      <c r="K11" s="10" t="s">
        <v>122</v>
      </c>
    </row>
    <row r="12" customFormat="false" ht="32.8" hidden="false" customHeight="false" outlineLevel="0" collapsed="false">
      <c r="A12" s="10" t="s">
        <v>123</v>
      </c>
      <c r="B12" s="10" t="s">
        <v>124</v>
      </c>
      <c r="C12" s="10" t="s">
        <v>102</v>
      </c>
      <c r="D12" s="10" t="s">
        <v>125</v>
      </c>
      <c r="E12" s="10" t="s">
        <v>96</v>
      </c>
      <c r="F12" s="10"/>
      <c r="G12" s="10" t="s">
        <v>107</v>
      </c>
      <c r="H12" s="10"/>
      <c r="I12" s="10" t="s">
        <v>68</v>
      </c>
      <c r="J12" s="10" t="s">
        <v>126</v>
      </c>
      <c r="K12" s="10" t="s">
        <v>127</v>
      </c>
    </row>
    <row r="14" customFormat="false" ht="53.7" hidden="false" customHeight="false" outlineLevel="0" collapsed="false">
      <c r="A14" s="15" t="s">
        <v>128</v>
      </c>
    </row>
    <row r="15" customFormat="false" ht="30" hidden="false" customHeight="true" outlineLevel="0" collapsed="false">
      <c r="A15" s="9" t="s">
        <v>83</v>
      </c>
      <c r="B15" s="9" t="s">
        <v>129</v>
      </c>
      <c r="C15" s="9" t="s">
        <v>84</v>
      </c>
      <c r="D15" s="9" t="s">
        <v>130</v>
      </c>
      <c r="E15" s="9" t="s">
        <v>86</v>
      </c>
      <c r="F15" s="9" t="s">
        <v>87</v>
      </c>
      <c r="G15" s="9" t="s">
        <v>88</v>
      </c>
      <c r="H15" s="9" t="s">
        <v>89</v>
      </c>
      <c r="I15" s="9" t="s">
        <v>90</v>
      </c>
      <c r="J15" s="9" t="s">
        <v>91</v>
      </c>
      <c r="K15" s="9" t="s">
        <v>28</v>
      </c>
    </row>
    <row r="16" customFormat="false" ht="32.8" hidden="false" customHeight="false" outlineLevel="0" collapsed="false">
      <c r="A16" s="10" t="s">
        <v>131</v>
      </c>
      <c r="B16" s="10" t="s">
        <v>120</v>
      </c>
      <c r="C16" s="10" t="s">
        <v>102</v>
      </c>
      <c r="D16" s="10" t="s">
        <v>132</v>
      </c>
      <c r="E16" s="10" t="s">
        <v>133</v>
      </c>
      <c r="F16" s="11" t="n">
        <f aca="false">SUMIFS(04_BANK_TRANSACTIONS!$F$5:$F$168,04_BANK_TRANSACTIONS!$C$5:$C$168,2024,04_BANK_TRANSACTIONS!$E$5:$E$168,D16,04_BANK_TRANSACTIONS!$G$5:$G$168,"entrada",04_BANK_TRANSACTIONS!$H$5:$H$168,"terceiros")</f>
        <v>44950</v>
      </c>
      <c r="G16" s="10" t="n">
        <v>1</v>
      </c>
      <c r="H16" s="11" t="n">
        <f aca="false">F16*G16</f>
        <v>44950</v>
      </c>
      <c r="I16" s="10" t="s">
        <v>68</v>
      </c>
      <c r="J16" s="10" t="str">
        <f aca="false">IF(COUNTIFS(04_BANK_TRANSACTIONS!$C$5:$C$168,2024,04_BANK_TRANSACTIONS!$E$5:$E$168,D16,04_BANK_TRANSACTIONS!$K$5:$K$168,"PENDENTE")&gt;0,"Natureza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6" s="10" t="s">
        <v>127</v>
      </c>
    </row>
    <row r="17" customFormat="false" ht="32.8" hidden="false" customHeight="false" outlineLevel="0" collapsed="false">
      <c r="A17" s="10" t="s">
        <v>131</v>
      </c>
      <c r="B17" s="10" t="s">
        <v>120</v>
      </c>
      <c r="C17" s="10" t="s">
        <v>102</v>
      </c>
      <c r="D17" s="10" t="s">
        <v>134</v>
      </c>
      <c r="E17" s="10" t="s">
        <v>133</v>
      </c>
      <c r="F17" s="11" t="n">
        <f aca="false">SUMIFS(04_BANK_TRANSACTIONS!$F$5:$F$168,04_BANK_TRANSACTIONS!$C$5:$C$168,2024,04_BANK_TRANSACTIONS!$E$5:$E$168,D17,04_BANK_TRANSACTIONS!$G$5:$G$168,"entrada",04_BANK_TRANSACTIONS!$H$5:$H$168,"terceiros")</f>
        <v>1500</v>
      </c>
      <c r="G17" s="10" t="n">
        <v>1</v>
      </c>
      <c r="H17" s="11" t="n">
        <f aca="false">F17*G17</f>
        <v>1500</v>
      </c>
      <c r="I17" s="10" t="s">
        <v>68</v>
      </c>
      <c r="J17" s="10" t="str">
        <f aca="false">IF(COUNTIFS(04_BANK_TRANSACTIONS!$C$5:$C$168,2024,04_BANK_TRANSACTIONS!$E$5:$E$168,D17,04_BANK_TRANSACTIONS!$K$5:$K$168,"PENDENTE")&gt;0,"Natureza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7" s="10" t="s">
        <v>127</v>
      </c>
    </row>
    <row r="18" customFormat="false" ht="32.8" hidden="false" customHeight="false" outlineLevel="0" collapsed="false">
      <c r="A18" s="10" t="s">
        <v>131</v>
      </c>
      <c r="B18" s="10" t="s">
        <v>120</v>
      </c>
      <c r="C18" s="10" t="s">
        <v>102</v>
      </c>
      <c r="D18" s="10" t="s">
        <v>135</v>
      </c>
      <c r="E18" s="10" t="s">
        <v>133</v>
      </c>
      <c r="F18" s="11" t="n">
        <f aca="false">SUMIFS(04_BANK_TRANSACTIONS!$F$5:$F$168,04_BANK_TRANSACTIONS!$C$5:$C$168,2024,04_BANK_TRANSACTIONS!$E$5:$E$168,D18,04_BANK_TRANSACTIONS!$G$5:$G$168,"entrada",04_BANK_TRANSACTIONS!$H$5:$H$168,"terceiros")</f>
        <v>1000</v>
      </c>
      <c r="G18" s="10" t="n">
        <v>1</v>
      </c>
      <c r="H18" s="11" t="n">
        <f aca="false">F18*G18</f>
        <v>1000</v>
      </c>
      <c r="I18" s="10" t="s">
        <v>68</v>
      </c>
      <c r="J18" s="10" t="str">
        <f aca="false">IF(COUNTIFS(04_BANK_TRANSACTIONS!$C$5:$C$168,2024,04_BANK_TRANSACTIONS!$E$5:$E$168,D18,04_BANK_TRANSACTIONS!$K$5:$K$168,"PENDENTE")&gt;0,"Natureza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8" s="10" t="s">
        <v>127</v>
      </c>
    </row>
    <row r="19" customFormat="false" ht="32.8" hidden="false" customHeight="false" outlineLevel="0" collapsed="false">
      <c r="A19" s="10" t="s">
        <v>131</v>
      </c>
      <c r="B19" s="10" t="s">
        <v>124</v>
      </c>
      <c r="C19" s="10" t="s">
        <v>102</v>
      </c>
      <c r="D19" s="10" t="s">
        <v>136</v>
      </c>
      <c r="E19" s="10" t="s">
        <v>133</v>
      </c>
      <c r="F19" s="11" t="n">
        <f aca="false">SUMIFS(04_BANK_TRANSACTIONS!$F$5:$F$168,04_BANK_TRANSACTIONS!$C$5:$C$168,2025,04_BANK_TRANSACTIONS!$E$5:$E$168,D19,04_BANK_TRANSACTIONS!$G$5:$G$168,"entrada",04_BANK_TRANSACTIONS!$H$5:$H$168,"terceiros")</f>
        <v>190000</v>
      </c>
      <c r="G19" s="10" t="n">
        <v>1</v>
      </c>
      <c r="H19" s="11" t="n">
        <f aca="false">F19*G19</f>
        <v>190000</v>
      </c>
      <c r="I19" s="10" t="s">
        <v>68</v>
      </c>
      <c r="J19" s="10" t="str">
        <f aca="false">IF(COUNTIFS(04_BANK_TRANSACTIONS!$C$5:$C$168,2025,04_BANK_TRANSACTIONS!$E$5:$E$168,D19,04_BANK_TRANSACTIONS!$K$5:$K$168,"PENDENTE")&gt;0,"Natureza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9" s="10" t="s">
        <v>127</v>
      </c>
    </row>
    <row r="20" customFormat="false" ht="32.8" hidden="false" customHeight="false" outlineLevel="0" collapsed="false">
      <c r="A20" s="10" t="s">
        <v>131</v>
      </c>
      <c r="B20" s="10" t="s">
        <v>124</v>
      </c>
      <c r="C20" s="10" t="s">
        <v>102</v>
      </c>
      <c r="D20" s="10" t="s">
        <v>137</v>
      </c>
      <c r="E20" s="10" t="s">
        <v>133</v>
      </c>
      <c r="F20" s="11" t="n">
        <f aca="false">SUMIFS(04_BANK_TRANSACTIONS!$F$5:$F$168,04_BANK_TRANSACTIONS!$C$5:$C$168,2025,04_BANK_TRANSACTIONS!$E$5:$E$168,D20,04_BANK_TRANSACTIONS!$G$5:$G$168,"entrada",04_BANK_TRANSACTIONS!$H$5:$H$168,"terceiros")</f>
        <v>96000</v>
      </c>
      <c r="G20" s="10" t="n">
        <v>1</v>
      </c>
      <c r="H20" s="11" t="n">
        <f aca="false">F20*G20</f>
        <v>96000</v>
      </c>
      <c r="I20" s="10" t="s">
        <v>68</v>
      </c>
      <c r="J20" s="10" t="str">
        <f aca="false">IF(COUNTIFS(04_BANK_TRANSACTIONS!$C$5:$C$168,2025,04_BANK_TRANSACTIONS!$E$5:$E$168,D20,04_BANK_TRANSACTIONS!$K$5:$K$168,"PENDENTE")&gt;0,"Natureza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0" s="10" t="s">
        <v>127</v>
      </c>
    </row>
    <row r="21" customFormat="false" ht="32.8" hidden="false" customHeight="false" outlineLevel="0" collapsed="false">
      <c r="A21" s="10" t="s">
        <v>131</v>
      </c>
      <c r="B21" s="10" t="s">
        <v>124</v>
      </c>
      <c r="C21" s="10" t="s">
        <v>102</v>
      </c>
      <c r="D21" s="10" t="s">
        <v>138</v>
      </c>
      <c r="E21" s="10" t="s">
        <v>133</v>
      </c>
      <c r="F21" s="11" t="n">
        <f aca="false">SUMIFS(04_BANK_TRANSACTIONS!$F$5:$F$168,04_BANK_TRANSACTIONS!$C$5:$C$168,2025,04_BANK_TRANSACTIONS!$E$5:$E$168,D21,04_BANK_TRANSACTIONS!$G$5:$G$168,"entrada",04_BANK_TRANSACTIONS!$H$5:$H$168,"terceiros")</f>
        <v>69000</v>
      </c>
      <c r="G21" s="10" t="n">
        <v>1</v>
      </c>
      <c r="H21" s="11" t="n">
        <f aca="false">F21*G21</f>
        <v>69000</v>
      </c>
      <c r="I21" s="10" t="s">
        <v>68</v>
      </c>
      <c r="J21" s="10" t="str">
        <f aca="false">IF(COUNTIFS(04_BANK_TRANSACTIONS!$C$5:$C$168,2025,04_BANK_TRANSACTIONS!$E$5:$E$168,D21,04_BANK_TRANSACTIONS!$K$5:$K$168,"PENDENTE")&gt;0,"Natureza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1" s="10" t="s">
        <v>127</v>
      </c>
    </row>
    <row r="22" customFormat="false" ht="32.8" hidden="false" customHeight="false" outlineLevel="0" collapsed="false">
      <c r="A22" s="10" t="s">
        <v>131</v>
      </c>
      <c r="B22" s="10" t="s">
        <v>124</v>
      </c>
      <c r="C22" s="10" t="s">
        <v>102</v>
      </c>
      <c r="D22" s="10" t="s">
        <v>132</v>
      </c>
      <c r="E22" s="10" t="s">
        <v>133</v>
      </c>
      <c r="F22" s="11" t="n">
        <f aca="false">SUMIFS(04_BANK_TRANSACTIONS!$F$5:$F$168,04_BANK_TRANSACTIONS!$C$5:$C$168,2025,04_BANK_TRANSACTIONS!$E$5:$E$168,D22,04_BANK_TRANSACTIONS!$G$5:$G$168,"entrada",04_BANK_TRANSACTIONS!$H$5:$H$168,"terceiros")</f>
        <v>61410</v>
      </c>
      <c r="G22" s="10" t="n">
        <v>1</v>
      </c>
      <c r="H22" s="11" t="n">
        <f aca="false">F22*G22</f>
        <v>61410</v>
      </c>
      <c r="I22" s="10" t="s">
        <v>68</v>
      </c>
      <c r="J22" s="10" t="str">
        <f aca="false">IF(COUNTIFS(04_BANK_TRANSACTIONS!$C$5:$C$168,2025,04_BANK_TRANSACTIONS!$E$5:$E$168,D22,04_BANK_TRANSACTIONS!$K$5:$K$168,"PENDENTE")&gt;0,"Natureza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2" s="10" t="s">
        <v>127</v>
      </c>
    </row>
    <row r="23" customFormat="false" ht="32.8" hidden="false" customHeight="false" outlineLevel="0" collapsed="false">
      <c r="A23" s="10" t="s">
        <v>131</v>
      </c>
      <c r="B23" s="10" t="s">
        <v>124</v>
      </c>
      <c r="C23" s="10" t="s">
        <v>102</v>
      </c>
      <c r="D23" s="10" t="s">
        <v>139</v>
      </c>
      <c r="E23" s="10" t="s">
        <v>133</v>
      </c>
      <c r="F23" s="11" t="n">
        <f aca="false">SUMIFS(04_BANK_TRANSACTIONS!$F$5:$F$168,04_BANK_TRANSACTIONS!$C$5:$C$168,2025,04_BANK_TRANSACTIONS!$E$5:$E$168,D23,04_BANK_TRANSACTIONS!$G$5:$G$168,"entrada",04_BANK_TRANSACTIONS!$H$5:$H$168,"terceiros")</f>
        <v>44000</v>
      </c>
      <c r="G23" s="10" t="n">
        <v>1</v>
      </c>
      <c r="H23" s="11" t="n">
        <f aca="false">F23*G23</f>
        <v>44000</v>
      </c>
      <c r="I23" s="10" t="s">
        <v>68</v>
      </c>
      <c r="J23" s="10" t="str">
        <f aca="false">IF(COUNTIFS(04_BANK_TRANSACTIONS!$C$5:$C$168,2025,04_BANK_TRANSACTIONS!$E$5:$E$168,D23,04_BANK_TRANSACTIONS!$K$5:$K$168,"PENDENTE")&gt;0,"Natureza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3" s="10" t="s">
        <v>127</v>
      </c>
    </row>
    <row r="24" customFormat="false" ht="32.8" hidden="false" customHeight="false" outlineLevel="0" collapsed="false">
      <c r="A24" s="10" t="s">
        <v>131</v>
      </c>
      <c r="B24" s="10" t="s">
        <v>124</v>
      </c>
      <c r="C24" s="10" t="s">
        <v>102</v>
      </c>
      <c r="D24" s="10" t="s">
        <v>140</v>
      </c>
      <c r="E24" s="10" t="s">
        <v>133</v>
      </c>
      <c r="F24" s="11" t="n">
        <f aca="false">SUMIFS(04_BANK_TRANSACTIONS!$F$5:$F$168,04_BANK_TRANSACTIONS!$C$5:$C$168,2025,04_BANK_TRANSACTIONS!$E$5:$E$168,D24,04_BANK_TRANSACTIONS!$G$5:$G$168,"entrada",04_BANK_TRANSACTIONS!$H$5:$H$168,"terceiros")</f>
        <v>40000</v>
      </c>
      <c r="G24" s="10" t="n">
        <v>1</v>
      </c>
      <c r="H24" s="11" t="n">
        <f aca="false">F24*G24</f>
        <v>40000</v>
      </c>
      <c r="I24" s="10" t="s">
        <v>68</v>
      </c>
      <c r="J24" s="10" t="str">
        <f aca="false">IF(COUNTIFS(04_BANK_TRANSACTIONS!$C$5:$C$168,2025,04_BANK_TRANSACTIONS!$E$5:$E$168,D24,04_BANK_TRANSACTIONS!$K$5:$K$168,"PENDENTE")&gt;0,"Natureza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4" s="10" t="s">
        <v>127</v>
      </c>
    </row>
    <row r="25" customFormat="false" ht="32.8" hidden="false" customHeight="false" outlineLevel="0" collapsed="false">
      <c r="A25" s="10" t="s">
        <v>131</v>
      </c>
      <c r="B25" s="10" t="s">
        <v>124</v>
      </c>
      <c r="C25" s="10" t="s">
        <v>102</v>
      </c>
      <c r="D25" s="10" t="s">
        <v>141</v>
      </c>
      <c r="E25" s="10" t="s">
        <v>133</v>
      </c>
      <c r="F25" s="11" t="n">
        <f aca="false">SUMIFS(04_BANK_TRANSACTIONS!$F$5:$F$168,04_BANK_TRANSACTIONS!$C$5:$C$168,2025,04_BANK_TRANSACTIONS!$E$5:$E$168,D25,04_BANK_TRANSACTIONS!$G$5:$G$168,"entrada",04_BANK_TRANSACTIONS!$H$5:$H$168,"terceiros")</f>
        <v>40000</v>
      </c>
      <c r="G25" s="10" t="n">
        <v>1</v>
      </c>
      <c r="H25" s="11" t="n">
        <f aca="false">F25*G25</f>
        <v>40000</v>
      </c>
      <c r="I25" s="10" t="s">
        <v>68</v>
      </c>
      <c r="J25" s="10" t="str">
        <f aca="false">IF(COUNTIFS(04_BANK_TRANSACTIONS!$C$5:$C$168,2025,04_BANK_TRANSACTIONS!$E$5:$E$168,D25,04_BANK_TRANSACTIONS!$K$5:$K$168,"PENDENTE")&gt;0,"Natureza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5" s="10" t="s">
        <v>127</v>
      </c>
    </row>
    <row r="26" customFormat="false" ht="32.8" hidden="false" customHeight="false" outlineLevel="0" collapsed="false">
      <c r="A26" s="10" t="s">
        <v>131</v>
      </c>
      <c r="B26" s="10" t="s">
        <v>124</v>
      </c>
      <c r="C26" s="10" t="s">
        <v>102</v>
      </c>
      <c r="D26" s="10" t="s">
        <v>135</v>
      </c>
      <c r="E26" s="10" t="s">
        <v>133</v>
      </c>
      <c r="F26" s="11" t="n">
        <f aca="false">SUMIFS(04_BANK_TRANSACTIONS!$F$5:$F$168,04_BANK_TRANSACTIONS!$C$5:$C$168,2025,04_BANK_TRANSACTIONS!$E$5:$E$168,D26,04_BANK_TRANSACTIONS!$G$5:$G$168,"entrada",04_BANK_TRANSACTIONS!$H$5:$H$168,"terceiros")</f>
        <v>13500</v>
      </c>
      <c r="G26" s="10" t="n">
        <v>1</v>
      </c>
      <c r="H26" s="11" t="n">
        <f aca="false">F26*G26</f>
        <v>13500</v>
      </c>
      <c r="I26" s="10" t="s">
        <v>68</v>
      </c>
      <c r="J26" s="10" t="str">
        <f aca="false">IF(COUNTIFS(04_BANK_TRANSACTIONS!$C$5:$C$168,2025,04_BANK_TRANSACTIONS!$E$5:$E$168,D26,04_BANK_TRANSACTIONS!$K$5:$K$168,"PENDENTE")&gt;0,"Natureza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6" s="10" t="s">
        <v>127</v>
      </c>
    </row>
    <row r="27" customFormat="false" ht="32.8" hidden="false" customHeight="false" outlineLevel="0" collapsed="false">
      <c r="A27" s="10" t="s">
        <v>131</v>
      </c>
      <c r="B27" s="10" t="s">
        <v>124</v>
      </c>
      <c r="C27" s="10" t="s">
        <v>102</v>
      </c>
      <c r="D27" s="10" t="s">
        <v>142</v>
      </c>
      <c r="E27" s="10" t="s">
        <v>133</v>
      </c>
      <c r="F27" s="11" t="n">
        <f aca="false">SUMIFS(04_BANK_TRANSACTIONS!$F$5:$F$168,04_BANK_TRANSACTIONS!$C$5:$C$168,2025,04_BANK_TRANSACTIONS!$E$5:$E$168,D27,04_BANK_TRANSACTIONS!$G$5:$G$168,"entrada",04_BANK_TRANSACTIONS!$H$5:$H$168,"terceiros")</f>
        <v>5870</v>
      </c>
      <c r="G27" s="10" t="n">
        <v>1</v>
      </c>
      <c r="H27" s="11" t="n">
        <f aca="false">F27*G27</f>
        <v>5870</v>
      </c>
      <c r="I27" s="10" t="s">
        <v>68</v>
      </c>
      <c r="J27" s="10" t="str">
        <f aca="false">IF(COUNTIFS(04_BANK_TRANSACTIONS!$C$5:$C$168,2025,04_BANK_TRANSACTIONS!$E$5:$E$168,D27,04_BANK_TRANSACTIONS!$K$5:$K$168,"PENDENTE")&gt;0,"Natureza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7" s="10" t="s">
        <v>127</v>
      </c>
    </row>
    <row r="28" customFormat="false" ht="32.8" hidden="false" customHeight="false" outlineLevel="0" collapsed="false">
      <c r="A28" s="10" t="s">
        <v>131</v>
      </c>
      <c r="B28" s="10" t="s">
        <v>124</v>
      </c>
      <c r="C28" s="10" t="s">
        <v>102</v>
      </c>
      <c r="D28" s="10" t="s">
        <v>143</v>
      </c>
      <c r="E28" s="10" t="s">
        <v>133</v>
      </c>
      <c r="F28" s="11" t="n">
        <f aca="false">SUMIFS(04_BANK_TRANSACTIONS!$F$5:$F$168,04_BANK_TRANSACTIONS!$C$5:$C$168,2025,04_BANK_TRANSACTIONS!$E$5:$E$168,D28,04_BANK_TRANSACTIONS!$G$5:$G$168,"entrada",04_BANK_TRANSACTIONS!$H$5:$H$168,"terceiros")</f>
        <v>5000</v>
      </c>
      <c r="G28" s="10" t="n">
        <v>1</v>
      </c>
      <c r="H28" s="11" t="n">
        <f aca="false">F28*G28</f>
        <v>5000</v>
      </c>
      <c r="I28" s="10" t="s">
        <v>68</v>
      </c>
      <c r="J28" s="10" t="str">
        <f aca="false">IF(COUNTIFS(04_BANK_TRANSACTIONS!$C$5:$C$168,2025,04_BANK_TRANSACTIONS!$E$5:$E$168,D28,04_BANK_TRANSACTIONS!$K$5:$K$168,"PENDENTE")&gt;0,"Natureza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8" s="10" t="s">
        <v>127</v>
      </c>
    </row>
    <row r="29" customFormat="false" ht="32.8" hidden="false" customHeight="false" outlineLevel="0" collapsed="false">
      <c r="A29" s="10" t="s">
        <v>131</v>
      </c>
      <c r="B29" s="10" t="s">
        <v>124</v>
      </c>
      <c r="C29" s="10" t="s">
        <v>102</v>
      </c>
      <c r="D29" s="10" t="s">
        <v>144</v>
      </c>
      <c r="E29" s="10" t="s">
        <v>133</v>
      </c>
      <c r="F29" s="11" t="n">
        <f aca="false">SUMIFS(04_BANK_TRANSACTIONS!$F$5:$F$168,04_BANK_TRANSACTIONS!$C$5:$C$168,2025,04_BANK_TRANSACTIONS!$E$5:$E$168,D29,04_BANK_TRANSACTIONS!$G$5:$G$168,"entrada",04_BANK_TRANSACTIONS!$H$5:$H$168,"terceiros")</f>
        <v>1500</v>
      </c>
      <c r="G29" s="10" t="n">
        <v>1</v>
      </c>
      <c r="H29" s="11" t="n">
        <f aca="false">F29*G29</f>
        <v>1500</v>
      </c>
      <c r="I29" s="10" t="s">
        <v>68</v>
      </c>
      <c r="J29" s="10" t="str">
        <f aca="false">IF(COUNTIFS(04_BANK_TRANSACTIONS!$C$5:$C$168,2025,04_BANK_TRANSACTIONS!$E$5:$E$168,D29,04_BANK_TRANSACTIONS!$K$5:$K$168,"PENDENTE")&gt;0,"Natureza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9" s="10" t="s">
        <v>127</v>
      </c>
    </row>
    <row r="30" customFormat="false" ht="32.8" hidden="false" customHeight="false" outlineLevel="0" collapsed="false">
      <c r="A30" s="10" t="s">
        <v>131</v>
      </c>
      <c r="B30" s="10" t="s">
        <v>124</v>
      </c>
      <c r="C30" s="10" t="s">
        <v>102</v>
      </c>
      <c r="D30" s="10" t="s">
        <v>134</v>
      </c>
      <c r="E30" s="10" t="s">
        <v>133</v>
      </c>
      <c r="F30" s="11" t="n">
        <f aca="false">SUMIFS(04_BANK_TRANSACTIONS!$F$5:$F$168,04_BANK_TRANSACTIONS!$C$5:$C$168,2025,04_BANK_TRANSACTIONS!$E$5:$E$168,D30,04_BANK_TRANSACTIONS!$G$5:$G$168,"entrada",04_BANK_TRANSACTIONS!$H$5:$H$168,"terceiros")</f>
        <v>1000</v>
      </c>
      <c r="G30" s="10" t="n">
        <v>1</v>
      </c>
      <c r="H30" s="11" t="n">
        <f aca="false">F30*G30</f>
        <v>1000</v>
      </c>
      <c r="I30" s="10" t="s">
        <v>68</v>
      </c>
      <c r="J30" s="10" t="str">
        <f aca="false">IF(COUNTIFS(04_BANK_TRANSACTIONS!$C$5:$C$168,2025,04_BANK_TRANSACTIONS!$E$5:$E$168,D30,04_BANK_TRANSACTIONS!$K$5:$K$168,"PENDENTE")&gt;0,"Natureza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0" s="10" t="s">
        <v>127</v>
      </c>
    </row>
    <row r="31" customFormat="false" ht="32.8" hidden="false" customHeight="false" outlineLevel="0" collapsed="false">
      <c r="A31" s="10" t="s">
        <v>131</v>
      </c>
      <c r="B31" s="10" t="s">
        <v>124</v>
      </c>
      <c r="C31" s="10" t="s">
        <v>102</v>
      </c>
      <c r="D31" s="10" t="s">
        <v>145</v>
      </c>
      <c r="E31" s="10" t="s">
        <v>133</v>
      </c>
      <c r="F31" s="11" t="n">
        <f aca="false">SUMIFS(04_BANK_TRANSACTIONS!$F$5:$F$168,04_BANK_TRANSACTIONS!$C$5:$C$168,2025,04_BANK_TRANSACTIONS!$E$5:$E$168,D31,04_BANK_TRANSACTIONS!$G$5:$G$168,"entrada",04_BANK_TRANSACTIONS!$H$5:$H$168,"terceiros")</f>
        <v>480</v>
      </c>
      <c r="G31" s="10" t="n">
        <v>1</v>
      </c>
      <c r="H31" s="11" t="n">
        <f aca="false">F31*G31</f>
        <v>480</v>
      </c>
      <c r="I31" s="10" t="s">
        <v>68</v>
      </c>
      <c r="J31" s="10" t="str">
        <f aca="false">IF(COUNTIFS(04_BANK_TRANSACTIONS!$C$5:$C$168,2025,04_BANK_TRANSACTIONS!$E$5:$E$168,D31,04_BANK_TRANSACTIONS!$K$5:$K$168,"PENDENTE")&gt;0,"Natureza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1" s="10" t="s">
        <v>127</v>
      </c>
    </row>
    <row r="32" customFormat="false" ht="32.8" hidden="false" customHeight="false" outlineLevel="0" collapsed="false">
      <c r="A32" s="10" t="s">
        <v>131</v>
      </c>
      <c r="B32" s="10" t="s">
        <v>124</v>
      </c>
      <c r="C32" s="10" t="s">
        <v>102</v>
      </c>
      <c r="D32" s="10" t="s">
        <v>146</v>
      </c>
      <c r="E32" s="10" t="s">
        <v>133</v>
      </c>
      <c r="F32" s="11" t="n">
        <f aca="false">SUMIFS(04_BANK_TRANSACTIONS!$F$5:$F$168,04_BANK_TRANSACTIONS!$C$5:$C$168,2025,04_BANK_TRANSACTIONS!$E$5:$E$168,D32,04_BANK_TRANSACTIONS!$G$5:$G$168,"entrada",04_BANK_TRANSACTIONS!$H$5:$H$168,"terceiros")</f>
        <v>300</v>
      </c>
      <c r="G32" s="10" t="n">
        <v>1</v>
      </c>
      <c r="H32" s="11" t="n">
        <f aca="false">F32*G32</f>
        <v>300</v>
      </c>
      <c r="I32" s="10" t="s">
        <v>68</v>
      </c>
      <c r="J32" s="10" t="str">
        <f aca="false">IF(COUNTIFS(04_BANK_TRANSACTIONS!$C$5:$C$168,2025,04_BANK_TRANSACTIONS!$E$5:$E$168,D32,04_BANK_TRANSACTIONS!$K$5:$K$168,"PENDENTE")&gt;0,"Natureza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2" s="10" t="s">
        <v>127</v>
      </c>
    </row>
    <row r="33" customFormat="false" ht="32.8" hidden="false" customHeight="false" outlineLevel="0" collapsed="false">
      <c r="A33" s="10" t="s">
        <v>131</v>
      </c>
      <c r="B33" s="10" t="s">
        <v>147</v>
      </c>
      <c r="C33" s="10" t="s">
        <v>102</v>
      </c>
      <c r="D33" s="10" t="s">
        <v>134</v>
      </c>
      <c r="E33" s="10" t="s">
        <v>133</v>
      </c>
      <c r="F33" s="11" t="n">
        <f aca="false">SUMIFS(04_BANK_TRANSACTIONS!$F$5:$F$168,04_BANK_TRANSACTIONS!$C$5:$C$168,2026,04_BANK_TRANSACTIONS!$E$5:$E$168,D33,04_BANK_TRANSACTIONS!$G$5:$G$168,"entrada",04_BANK_TRANSACTIONS!$H$5:$H$168,"terceiros")</f>
        <v>8000</v>
      </c>
      <c r="G33" s="10" t="n">
        <v>1</v>
      </c>
      <c r="H33" s="11" t="n">
        <f aca="false">F33*G33</f>
        <v>8000</v>
      </c>
      <c r="I33" s="10" t="s">
        <v>68</v>
      </c>
      <c r="J33" s="10" t="str">
        <f aca="false">IF(COUNTIFS(04_BANK_TRANSACTIONS!$C$5:$C$168,2026,04_BANK_TRANSACTIONS!$E$5:$E$168,D33,04_BANK_TRANSACTIONS!$K$5:$K$168,"PENDENTE")&gt;0,"Natureza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3" s="10" t="s">
        <v>127</v>
      </c>
    </row>
    <row r="34" customFormat="false" ht="15" hidden="false" customHeight="false" outlineLevel="0" collapsed="false">
      <c r="D34" s="12" t="s">
        <v>148</v>
      </c>
      <c r="H34" s="14" t="n">
        <f aca="false">SUM(H16:H33)</f>
        <v>623510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44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8" min="15" style="0" width="12"/>
    <col collapsed="false" customWidth="true" hidden="false" outlineLevel="0" max="20" min="19" style="0" width="9"/>
    <col collapsed="false" customWidth="true" hidden="false" outlineLevel="0" max="23" min="21" style="0" width="13"/>
    <col collapsed="false" customWidth="true" hidden="false" outlineLevel="0" max="24" min="24" style="0" width="16"/>
  </cols>
  <sheetData>
    <row r="1" customFormat="false" ht="15" hidden="false" customHeight="false" outlineLevel="0" collapsed="false">
      <c r="A1" s="6" t="s">
        <v>149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8" t="s">
        <v>150</v>
      </c>
    </row>
    <row r="4" customFormat="false" ht="30" hidden="false" customHeight="true" outlineLevel="0" collapsed="false">
      <c r="A4" s="9" t="s">
        <v>151</v>
      </c>
      <c r="B4" s="9" t="s">
        <v>152</v>
      </c>
      <c r="C4" s="9" t="s">
        <v>129</v>
      </c>
      <c r="D4" s="9" t="s">
        <v>153</v>
      </c>
      <c r="E4" s="9" t="s">
        <v>130</v>
      </c>
      <c r="F4" s="9" t="s">
        <v>154</v>
      </c>
      <c r="G4" s="9" t="s">
        <v>155</v>
      </c>
      <c r="H4" s="9" t="s">
        <v>156</v>
      </c>
      <c r="I4" s="9" t="s">
        <v>157</v>
      </c>
      <c r="J4" s="9" t="s">
        <v>158</v>
      </c>
      <c r="K4" s="9" t="s">
        <v>159</v>
      </c>
      <c r="L4" s="9" t="s">
        <v>160</v>
      </c>
      <c r="M4" s="9" t="s">
        <v>161</v>
      </c>
      <c r="N4" s="9" t="s">
        <v>162</v>
      </c>
      <c r="O4" s="9" t="s">
        <v>163</v>
      </c>
      <c r="P4" s="9" t="s">
        <v>164</v>
      </c>
      <c r="Q4" s="9" t="s">
        <v>165</v>
      </c>
      <c r="R4" s="9" t="s">
        <v>166</v>
      </c>
      <c r="S4" s="9" t="s">
        <v>167</v>
      </c>
      <c r="T4" s="9" t="s">
        <v>168</v>
      </c>
      <c r="U4" s="9" t="s">
        <v>169</v>
      </c>
      <c r="V4" s="9" t="s">
        <v>170</v>
      </c>
      <c r="W4" s="9" t="s">
        <v>171</v>
      </c>
      <c r="X4" s="9" t="s">
        <v>172</v>
      </c>
    </row>
    <row r="5" customFormat="false" ht="32.8" hidden="false" customHeight="false" outlineLevel="0" collapsed="false">
      <c r="A5" s="10" t="n">
        <v>1</v>
      </c>
      <c r="B5" s="19" t="n">
        <v>45578</v>
      </c>
      <c r="C5" s="21" t="n">
        <f aca="false">YEAR(B5)</f>
        <v>2024</v>
      </c>
      <c r="D5" s="10" t="s">
        <v>173</v>
      </c>
      <c r="E5" s="10" t="s">
        <v>174</v>
      </c>
      <c r="F5" s="11" t="n">
        <v>41475</v>
      </c>
      <c r="G5" s="10" t="s">
        <v>175</v>
      </c>
      <c r="H5" s="10" t="s">
        <v>176</v>
      </c>
      <c r="I5" s="10" t="s">
        <v>177</v>
      </c>
      <c r="J5" s="10" t="s">
        <v>178</v>
      </c>
      <c r="K5" s="22" t="s">
        <v>179</v>
      </c>
      <c r="L5" s="10" t="str">
        <f aca="false">IF(AND(G5="entrada",F5&gt;=00_PARAMETROS!$B$7),"SIM","NÃO")</f>
        <v>SIM</v>
      </c>
      <c r="M5" s="23"/>
      <c r="N5" s="24" t="n">
        <f aca="false">IFERROR(INDEX(00_PARAMETROS!$B$41:$B$54,MATCH(K5,00_PARAMETROS!$A$41:$A$54,0)),0)</f>
        <v>0</v>
      </c>
      <c r="O5" s="11" t="n">
        <f aca="false">IF(OR(G5&lt;&gt;"entrada",N5=0),0,IF(K5="VENDA_BEM_BR_GCAP",N(M5),F5))</f>
        <v>0</v>
      </c>
      <c r="P5" s="11" t="n">
        <f aca="false">ROUND(O5*N5,2)</f>
        <v>0</v>
      </c>
      <c r="Q5" s="11" t="n">
        <f aca="false">IF(AND(G5="entrada",K5="PENDENTE"),ROUND(F5*00_PARAMETROS!$B$12,2),0)</f>
        <v>0</v>
      </c>
      <c r="R5" s="11" t="n">
        <f aca="false">IF(AND(G5="entrada",K5="PENDENTE"),ROUND(F5*00_PARAMETROS!$B$13,2),0)</f>
        <v>0</v>
      </c>
      <c r="S5" s="24" t="n">
        <f aca="false">IF(P5+Q5&gt;0,SUMIFS(SELIC!$B$4:$B$96,SELIC!$A$4:$A$96,"&gt;="&amp;DATE(YEAR(B5),MONTH(B5)+1,1),SELIC!$A$4:$A$96,"&lt;="&amp;DATE(YEAR(00_PARAMETROS!$B$4),MONTH(00_PARAMETROS!$B$4)-1,1))+00_PARAMETROS!$B$11,0)</f>
        <v>0</v>
      </c>
      <c r="T5" s="24" t="n">
        <f aca="false">IF(P5+Q5&gt;0,MIN(00_PARAMETROS!$B$9,00_PARAMETROS!$B$8*MAX(0,00_PARAMETROS!$B$4-B5)),0)</f>
        <v>0</v>
      </c>
      <c r="U5" s="11" t="n">
        <f aca="false">ROUND(P5*(1+S5+T5),2)</f>
        <v>0</v>
      </c>
      <c r="V5" s="11" t="n">
        <f aca="false">ROUND(Q5*(1+S5+T5),2)</f>
        <v>0</v>
      </c>
      <c r="W5" s="11" t="n">
        <f aca="false">ROUND(R5*(1+S5+T5),2)</f>
        <v>0</v>
      </c>
      <c r="X5" s="10"/>
    </row>
    <row r="6" customFormat="false" ht="22.35" hidden="false" customHeight="false" outlineLevel="0" collapsed="false">
      <c r="A6" s="10" t="n">
        <v>2</v>
      </c>
      <c r="B6" s="19" t="n">
        <v>45578</v>
      </c>
      <c r="C6" s="21" t="n">
        <f aca="false">YEAR(B6)</f>
        <v>2024</v>
      </c>
      <c r="D6" s="10" t="s">
        <v>180</v>
      </c>
      <c r="E6" s="10" t="s">
        <v>180</v>
      </c>
      <c r="F6" s="11" t="n">
        <v>-41000</v>
      </c>
      <c r="G6" s="10" t="s">
        <v>181</v>
      </c>
      <c r="H6" s="10" t="s">
        <v>182</v>
      </c>
      <c r="I6" s="10" t="s">
        <v>177</v>
      </c>
      <c r="J6" s="10" t="s">
        <v>183</v>
      </c>
      <c r="K6" s="22" t="s">
        <v>184</v>
      </c>
      <c r="L6" s="10" t="str">
        <f aca="false">IF(AND(G6="entrada",F6&gt;=00_PARAMETROS!$B$7),"SIM","NÃO")</f>
        <v>NÃO</v>
      </c>
      <c r="M6" s="23"/>
      <c r="N6" s="24" t="n">
        <f aca="false">IFERROR(INDEX(00_PARAMETROS!$B$41:$B$54,MATCH(K6,00_PARAMETROS!$A$41:$A$54,0)),0)</f>
        <v>0</v>
      </c>
      <c r="O6" s="11" t="n">
        <f aca="false">IF(OR(G6&lt;&gt;"entrada",N6=0),0,IF(K6="VENDA_BEM_BR_GCAP",N(M6),F6))</f>
        <v>0</v>
      </c>
      <c r="P6" s="11" t="n">
        <f aca="false">ROUND(O6*N6,2)</f>
        <v>0</v>
      </c>
      <c r="Q6" s="11" t="n">
        <f aca="false">IF(AND(G6="entrada",K6="PENDENTE"),ROUND(F6*00_PARAMETROS!$B$12,2),0)</f>
        <v>0</v>
      </c>
      <c r="R6" s="11" t="n">
        <f aca="false">IF(AND(G6="entrada",K6="PENDENTE"),ROUND(F6*00_PARAMETROS!$B$13,2),0)</f>
        <v>0</v>
      </c>
      <c r="S6" s="24" t="n">
        <f aca="false">IF(P6+Q6&gt;0,SUMIFS(SELIC!$B$4:$B$96,SELIC!$A$4:$A$96,"&gt;="&amp;DATE(YEAR(B6),MONTH(B6)+1,1),SELIC!$A$4:$A$96,"&lt;="&amp;DATE(YEAR(00_PARAMETROS!$B$4),MONTH(00_PARAMETROS!$B$4)-1,1))+00_PARAMETROS!$B$11,0)</f>
        <v>0</v>
      </c>
      <c r="T6" s="24" t="n">
        <f aca="false">IF(P6+Q6&gt;0,MIN(00_PARAMETROS!$B$9,00_PARAMETROS!$B$8*MAX(0,00_PARAMETROS!$B$4-B6)),0)</f>
        <v>0</v>
      </c>
      <c r="U6" s="11" t="n">
        <f aca="false">ROUND(P6*(1+S6+T6),2)</f>
        <v>0</v>
      </c>
      <c r="V6" s="11" t="n">
        <f aca="false">ROUND(Q6*(1+S6+T6),2)</f>
        <v>0</v>
      </c>
      <c r="W6" s="11" t="n">
        <f aca="false">ROUND(R6*(1+S6+T6),2)</f>
        <v>0</v>
      </c>
      <c r="X6" s="10"/>
    </row>
    <row r="7" customFormat="false" ht="43.25" hidden="false" customHeight="false" outlineLevel="0" collapsed="false">
      <c r="A7" s="10" t="n">
        <v>3</v>
      </c>
      <c r="B7" s="19" t="n">
        <v>45594</v>
      </c>
      <c r="C7" s="21" t="n">
        <f aca="false">YEAR(B7)</f>
        <v>2024</v>
      </c>
      <c r="D7" s="10" t="s">
        <v>185</v>
      </c>
      <c r="E7" s="10" t="s">
        <v>186</v>
      </c>
      <c r="F7" s="11" t="n">
        <v>-270</v>
      </c>
      <c r="G7" s="10" t="s">
        <v>181</v>
      </c>
      <c r="H7" s="10" t="s">
        <v>187</v>
      </c>
      <c r="I7" s="10" t="s">
        <v>177</v>
      </c>
      <c r="J7" s="10" t="s">
        <v>188</v>
      </c>
      <c r="K7" s="22" t="s">
        <v>184</v>
      </c>
      <c r="L7" s="10" t="str">
        <f aca="false">IF(AND(G7="entrada",F7&gt;=00_PARAMETROS!$B$7),"SIM","NÃO")</f>
        <v>NÃO</v>
      </c>
      <c r="M7" s="23"/>
      <c r="N7" s="24" t="n">
        <f aca="false">IFERROR(INDEX(00_PARAMETROS!$B$41:$B$54,MATCH(K7,00_PARAMETROS!$A$41:$A$54,0)),0)</f>
        <v>0</v>
      </c>
      <c r="O7" s="11" t="n">
        <f aca="false">IF(OR(G7&lt;&gt;"entrada",N7=0),0,IF(K7="VENDA_BEM_BR_GCAP",N(M7),F7))</f>
        <v>0</v>
      </c>
      <c r="P7" s="11" t="n">
        <f aca="false">ROUND(O7*N7,2)</f>
        <v>0</v>
      </c>
      <c r="Q7" s="11" t="n">
        <f aca="false">IF(AND(G7="entrada",K7="PENDENTE"),ROUND(F7*00_PARAMETROS!$B$12,2),0)</f>
        <v>0</v>
      </c>
      <c r="R7" s="11" t="n">
        <f aca="false">IF(AND(G7="entrada",K7="PENDENTE"),ROUND(F7*00_PARAMETROS!$B$13,2),0)</f>
        <v>0</v>
      </c>
      <c r="S7" s="24" t="n">
        <f aca="false">IF(P7+Q7&gt;0,SUMIFS(SELIC!$B$4:$B$96,SELIC!$A$4:$A$96,"&gt;="&amp;DATE(YEAR(B7),MONTH(B7)+1,1),SELIC!$A$4:$A$96,"&lt;="&amp;DATE(YEAR(00_PARAMETROS!$B$4),MONTH(00_PARAMETROS!$B$4)-1,1))+00_PARAMETROS!$B$11,0)</f>
        <v>0</v>
      </c>
      <c r="T7" s="24" t="n">
        <f aca="false">IF(P7+Q7&gt;0,MIN(00_PARAMETROS!$B$9,00_PARAMETROS!$B$8*MAX(0,00_PARAMETROS!$B$4-B7)),0)</f>
        <v>0</v>
      </c>
      <c r="U7" s="11" t="n">
        <f aca="false">ROUND(P7*(1+S7+T7),2)</f>
        <v>0</v>
      </c>
      <c r="V7" s="11" t="n">
        <f aca="false">ROUND(Q7*(1+S7+T7),2)</f>
        <v>0</v>
      </c>
      <c r="W7" s="11" t="n">
        <f aca="false">ROUND(R7*(1+S7+T7),2)</f>
        <v>0</v>
      </c>
      <c r="X7" s="10"/>
    </row>
    <row r="8" customFormat="false" ht="32.8" hidden="false" customHeight="false" outlineLevel="0" collapsed="false">
      <c r="A8" s="10" t="n">
        <v>4</v>
      </c>
      <c r="B8" s="19" t="n">
        <v>45595</v>
      </c>
      <c r="C8" s="21" t="n">
        <f aca="false">YEAR(B8)</f>
        <v>2024</v>
      </c>
      <c r="D8" s="10" t="s">
        <v>189</v>
      </c>
      <c r="E8" s="10" t="s">
        <v>134</v>
      </c>
      <c r="F8" s="11" t="n">
        <v>1000</v>
      </c>
      <c r="G8" s="10" t="s">
        <v>175</v>
      </c>
      <c r="H8" s="10" t="s">
        <v>187</v>
      </c>
      <c r="I8" s="10" t="s">
        <v>177</v>
      </c>
      <c r="J8" s="25" t="s">
        <v>190</v>
      </c>
      <c r="K8" s="22" t="s">
        <v>191</v>
      </c>
      <c r="L8" s="10" t="str">
        <f aca="false">IF(AND(G8="entrada",F8&gt;=00_PARAMETROS!$B$7),"SIM","NÃO")</f>
        <v>NÃO</v>
      </c>
      <c r="M8" s="23"/>
      <c r="N8" s="24" t="n">
        <f aca="false">IFERROR(INDEX(00_PARAMETROS!$B$41:$B$54,MATCH(K8,00_PARAMETROS!$A$41:$A$54,0)),0)</f>
        <v>0</v>
      </c>
      <c r="O8" s="11" t="n">
        <f aca="false">IF(OR(G8&lt;&gt;"entrada",N8=0),0,IF(K8="VENDA_BEM_BR_GCAP",N(M8),F8))</f>
        <v>0</v>
      </c>
      <c r="P8" s="11" t="n">
        <f aca="false">ROUND(O8*N8,2)</f>
        <v>0</v>
      </c>
      <c r="Q8" s="11" t="n">
        <f aca="false">IF(AND(G8="entrada",K8="PENDENTE"),ROUND(F8*00_PARAMETROS!$B$12,2),0)</f>
        <v>150</v>
      </c>
      <c r="R8" s="11" t="n">
        <f aca="false">IF(AND(G8="entrada",K8="PENDENTE"),ROUND(F8*00_PARAMETROS!$B$13,2),0)</f>
        <v>250</v>
      </c>
      <c r="S8" s="24" t="n">
        <f aca="false">IF(P8+Q8&gt;0,SUMIFS(SELIC!$B$4:$B$96,SELIC!$A$4:$A$96,"&gt;="&amp;DATE(YEAR(B8),MONTH(B8)+1,1),SELIC!$A$4:$A$96,"&lt;="&amp;DATE(YEAR(00_PARAMETROS!$B$4),MONTH(00_PARAMETROS!$B$4)-1,1))+00_PARAMETROS!$B$11,0)</f>
        <v>0.2515</v>
      </c>
      <c r="T8" s="24" t="n">
        <f aca="false">IF(P8+Q8&gt;0,MIN(00_PARAMETROS!$B$9,00_PARAMETROS!$B$8*MAX(0,00_PARAMETROS!$B$4-B8)),0)</f>
        <v>0.2</v>
      </c>
      <c r="U8" s="11" t="n">
        <f aca="false">ROUND(P8*(1+S8+T8),2)</f>
        <v>0</v>
      </c>
      <c r="V8" s="11" t="n">
        <f aca="false">ROUND(Q8*(1+S8+T8),2)</f>
        <v>217.73</v>
      </c>
      <c r="W8" s="11" t="n">
        <f aca="false">ROUND(R8*(1+S8+T8),2)</f>
        <v>362.88</v>
      </c>
      <c r="X8" s="10"/>
    </row>
    <row r="9" customFormat="false" ht="22.35" hidden="false" customHeight="false" outlineLevel="0" collapsed="false">
      <c r="A9" s="10" t="n">
        <v>5</v>
      </c>
      <c r="B9" s="19" t="n">
        <v>45595</v>
      </c>
      <c r="C9" s="21" t="n">
        <f aca="false">YEAR(B9)</f>
        <v>2024</v>
      </c>
      <c r="D9" s="10" t="s">
        <v>192</v>
      </c>
      <c r="E9" s="10" t="s">
        <v>193</v>
      </c>
      <c r="F9" s="11" t="n">
        <v>-1000</v>
      </c>
      <c r="G9" s="10" t="s">
        <v>181</v>
      </c>
      <c r="H9" s="10" t="s">
        <v>182</v>
      </c>
      <c r="I9" s="10" t="s">
        <v>177</v>
      </c>
      <c r="J9" s="10" t="s">
        <v>183</v>
      </c>
      <c r="K9" s="22" t="s">
        <v>184</v>
      </c>
      <c r="L9" s="10" t="str">
        <f aca="false">IF(AND(G9="entrada",F9&gt;=00_PARAMETROS!$B$7),"SIM","NÃO")</f>
        <v>NÃO</v>
      </c>
      <c r="M9" s="23"/>
      <c r="N9" s="24" t="n">
        <f aca="false">IFERROR(INDEX(00_PARAMETROS!$B$41:$B$54,MATCH(K9,00_PARAMETROS!$A$41:$A$54,0)),0)</f>
        <v>0</v>
      </c>
      <c r="O9" s="11" t="n">
        <f aca="false">IF(OR(G9&lt;&gt;"entrada",N9=0),0,IF(K9="VENDA_BEM_BR_GCAP",N(M9),F9))</f>
        <v>0</v>
      </c>
      <c r="P9" s="11" t="n">
        <f aca="false">ROUND(O9*N9,2)</f>
        <v>0</v>
      </c>
      <c r="Q9" s="11" t="n">
        <f aca="false">IF(AND(G9="entrada",K9="PENDENTE"),ROUND(F9*00_PARAMETROS!$B$12,2),0)</f>
        <v>0</v>
      </c>
      <c r="R9" s="11" t="n">
        <f aca="false">IF(AND(G9="entrada",K9="PENDENTE"),ROUND(F9*00_PARAMETROS!$B$13,2),0)</f>
        <v>0</v>
      </c>
      <c r="S9" s="24" t="n">
        <f aca="false">IF(P9+Q9&gt;0,SUMIFS(SELIC!$B$4:$B$96,SELIC!$A$4:$A$96,"&gt;="&amp;DATE(YEAR(B9),MONTH(B9)+1,1),SELIC!$A$4:$A$96,"&lt;="&amp;DATE(YEAR(00_PARAMETROS!$B$4),MONTH(00_PARAMETROS!$B$4)-1,1))+00_PARAMETROS!$B$11,0)</f>
        <v>0</v>
      </c>
      <c r="T9" s="24" t="n">
        <f aca="false">IF(P9+Q9&gt;0,MIN(00_PARAMETROS!$B$9,00_PARAMETROS!$B$8*MAX(0,00_PARAMETROS!$B$4-B9)),0)</f>
        <v>0</v>
      </c>
      <c r="U9" s="11" t="n">
        <f aca="false">ROUND(P9*(1+S9+T9),2)</f>
        <v>0</v>
      </c>
      <c r="V9" s="11" t="n">
        <f aca="false">ROUND(Q9*(1+S9+T9),2)</f>
        <v>0</v>
      </c>
      <c r="W9" s="11" t="n">
        <f aca="false">ROUND(R9*(1+S9+T9),2)</f>
        <v>0</v>
      </c>
      <c r="X9" s="10"/>
    </row>
    <row r="10" customFormat="false" ht="32.8" hidden="false" customHeight="false" outlineLevel="0" collapsed="false">
      <c r="A10" s="10" t="n">
        <v>6</v>
      </c>
      <c r="B10" s="19" t="n">
        <v>45612</v>
      </c>
      <c r="C10" s="21" t="n">
        <f aca="false">YEAR(B10)</f>
        <v>2024</v>
      </c>
      <c r="D10" s="10" t="s">
        <v>194</v>
      </c>
      <c r="E10" s="10" t="s">
        <v>132</v>
      </c>
      <c r="F10" s="11" t="n">
        <v>5000</v>
      </c>
      <c r="G10" s="10" t="s">
        <v>175</v>
      </c>
      <c r="H10" s="10" t="s">
        <v>187</v>
      </c>
      <c r="I10" s="10" t="s">
        <v>195</v>
      </c>
      <c r="J10" s="25" t="s">
        <v>190</v>
      </c>
      <c r="K10" s="22" t="s">
        <v>191</v>
      </c>
      <c r="L10" s="10" t="str">
        <f aca="false">IF(AND(G10="entrada",F10&gt;=00_PARAMETROS!$B$7),"SIM","NÃO")</f>
        <v>NÃO</v>
      </c>
      <c r="M10" s="23"/>
      <c r="N10" s="24" t="n">
        <f aca="false">IFERROR(INDEX(00_PARAMETROS!$B$41:$B$54,MATCH(K10,00_PARAMETROS!$A$41:$A$54,0)),0)</f>
        <v>0</v>
      </c>
      <c r="O10" s="11" t="n">
        <f aca="false">IF(OR(G10&lt;&gt;"entrada",N10=0),0,IF(K10="VENDA_BEM_BR_GCAP",N(M10),F10))</f>
        <v>0</v>
      </c>
      <c r="P10" s="11" t="n">
        <f aca="false">ROUND(O10*N10,2)</f>
        <v>0</v>
      </c>
      <c r="Q10" s="11" t="n">
        <f aca="false">IF(AND(G10="entrada",K10="PENDENTE"),ROUND(F10*00_PARAMETROS!$B$12,2),0)</f>
        <v>750</v>
      </c>
      <c r="R10" s="11" t="n">
        <f aca="false">IF(AND(G10="entrada",K10="PENDENTE"),ROUND(F10*00_PARAMETROS!$B$13,2),0)</f>
        <v>1250</v>
      </c>
      <c r="S10" s="24" t="n">
        <f aca="false">IF(P10+Q10&gt;0,SUMIFS(SELIC!$B$4:$B$96,SELIC!$A$4:$A$96,"&gt;="&amp;DATE(YEAR(B10),MONTH(B10)+1,1),SELIC!$A$4:$A$96,"&lt;="&amp;DATE(YEAR(00_PARAMETROS!$B$4),MONTH(00_PARAMETROS!$B$4)-1,1))+00_PARAMETROS!$B$11,0)</f>
        <v>0.2436</v>
      </c>
      <c r="T10" s="24" t="n">
        <f aca="false">IF(P10+Q10&gt;0,MIN(00_PARAMETROS!$B$9,00_PARAMETROS!$B$8*MAX(0,00_PARAMETROS!$B$4-B10)),0)</f>
        <v>0.2</v>
      </c>
      <c r="U10" s="11" t="n">
        <f aca="false">ROUND(P10*(1+S10+T10),2)</f>
        <v>0</v>
      </c>
      <c r="V10" s="11" t="n">
        <f aca="false">ROUND(Q10*(1+S10+T10),2)</f>
        <v>1082.7</v>
      </c>
      <c r="W10" s="11" t="n">
        <f aca="false">ROUND(R10*(1+S10+T10),2)</f>
        <v>1804.5</v>
      </c>
      <c r="X10" s="10"/>
    </row>
    <row r="11" customFormat="false" ht="32.8" hidden="false" customHeight="false" outlineLevel="0" collapsed="false">
      <c r="A11" s="10" t="n">
        <v>7</v>
      </c>
      <c r="B11" s="19" t="n">
        <v>45612</v>
      </c>
      <c r="C11" s="21" t="n">
        <f aca="false">YEAR(B11)</f>
        <v>2024</v>
      </c>
      <c r="D11" s="10" t="s">
        <v>196</v>
      </c>
      <c r="E11" s="10" t="s">
        <v>132</v>
      </c>
      <c r="F11" s="11" t="n">
        <v>8000</v>
      </c>
      <c r="G11" s="10" t="s">
        <v>175</v>
      </c>
      <c r="H11" s="10" t="s">
        <v>187</v>
      </c>
      <c r="I11" s="10" t="s">
        <v>195</v>
      </c>
      <c r="J11" s="25" t="s">
        <v>190</v>
      </c>
      <c r="K11" s="22" t="s">
        <v>191</v>
      </c>
      <c r="L11" s="10" t="str">
        <f aca="false">IF(AND(G11="entrada",F11&gt;=00_PARAMETROS!$B$7),"SIM","NÃO")</f>
        <v>NÃO</v>
      </c>
      <c r="M11" s="23"/>
      <c r="N11" s="24" t="n">
        <f aca="false">IFERROR(INDEX(00_PARAMETROS!$B$41:$B$54,MATCH(K11,00_PARAMETROS!$A$41:$A$54,0)),0)</f>
        <v>0</v>
      </c>
      <c r="O11" s="11" t="n">
        <f aca="false">IF(OR(G11&lt;&gt;"entrada",N11=0),0,IF(K11="VENDA_BEM_BR_GCAP",N(M11),F11))</f>
        <v>0</v>
      </c>
      <c r="P11" s="11" t="n">
        <f aca="false">ROUND(O11*N11,2)</f>
        <v>0</v>
      </c>
      <c r="Q11" s="11" t="n">
        <f aca="false">IF(AND(G11="entrada",K11="PENDENTE"),ROUND(F11*00_PARAMETROS!$B$12,2),0)</f>
        <v>1200</v>
      </c>
      <c r="R11" s="11" t="n">
        <f aca="false">IF(AND(G11="entrada",K11="PENDENTE"),ROUND(F11*00_PARAMETROS!$B$13,2),0)</f>
        <v>2000</v>
      </c>
      <c r="S11" s="24" t="n">
        <f aca="false">IF(P11+Q11&gt;0,SUMIFS(SELIC!$B$4:$B$96,SELIC!$A$4:$A$96,"&gt;="&amp;DATE(YEAR(B11),MONTH(B11)+1,1),SELIC!$A$4:$A$96,"&lt;="&amp;DATE(YEAR(00_PARAMETROS!$B$4),MONTH(00_PARAMETROS!$B$4)-1,1))+00_PARAMETROS!$B$11,0)</f>
        <v>0.2436</v>
      </c>
      <c r="T11" s="24" t="n">
        <f aca="false">IF(P11+Q11&gt;0,MIN(00_PARAMETROS!$B$9,00_PARAMETROS!$B$8*MAX(0,00_PARAMETROS!$B$4-B11)),0)</f>
        <v>0.2</v>
      </c>
      <c r="U11" s="11" t="n">
        <f aca="false">ROUND(P11*(1+S11+T11),2)</f>
        <v>0</v>
      </c>
      <c r="V11" s="11" t="n">
        <f aca="false">ROUND(Q11*(1+S11+T11),2)</f>
        <v>1732.32</v>
      </c>
      <c r="W11" s="11" t="n">
        <f aca="false">ROUND(R11*(1+S11+T11),2)</f>
        <v>2887.2</v>
      </c>
      <c r="X11" s="10"/>
    </row>
    <row r="12" customFormat="false" ht="32.8" hidden="false" customHeight="false" outlineLevel="0" collapsed="false">
      <c r="A12" s="10" t="n">
        <v>8</v>
      </c>
      <c r="B12" s="19" t="n">
        <v>45612</v>
      </c>
      <c r="C12" s="21" t="n">
        <f aca="false">YEAR(B12)</f>
        <v>2024</v>
      </c>
      <c r="D12" s="10" t="s">
        <v>197</v>
      </c>
      <c r="E12" s="10" t="s">
        <v>132</v>
      </c>
      <c r="F12" s="11" t="n">
        <v>3000</v>
      </c>
      <c r="G12" s="10" t="s">
        <v>175</v>
      </c>
      <c r="H12" s="10" t="s">
        <v>187</v>
      </c>
      <c r="I12" s="10" t="s">
        <v>195</v>
      </c>
      <c r="J12" s="25" t="s">
        <v>190</v>
      </c>
      <c r="K12" s="22" t="s">
        <v>191</v>
      </c>
      <c r="L12" s="10" t="str">
        <f aca="false">IF(AND(G12="entrada",F12&gt;=00_PARAMETROS!$B$7),"SIM","NÃO")</f>
        <v>NÃO</v>
      </c>
      <c r="M12" s="23"/>
      <c r="N12" s="24" t="n">
        <f aca="false">IFERROR(INDEX(00_PARAMETROS!$B$41:$B$54,MATCH(K12,00_PARAMETROS!$A$41:$A$54,0)),0)</f>
        <v>0</v>
      </c>
      <c r="O12" s="11" t="n">
        <f aca="false">IF(OR(G12&lt;&gt;"entrada",N12=0),0,IF(K12="VENDA_BEM_BR_GCAP",N(M12),F12))</f>
        <v>0</v>
      </c>
      <c r="P12" s="11" t="n">
        <f aca="false">ROUND(O12*N12,2)</f>
        <v>0</v>
      </c>
      <c r="Q12" s="11" t="n">
        <f aca="false">IF(AND(G12="entrada",K12="PENDENTE"),ROUND(F12*00_PARAMETROS!$B$12,2),0)</f>
        <v>450</v>
      </c>
      <c r="R12" s="11" t="n">
        <f aca="false">IF(AND(G12="entrada",K12="PENDENTE"),ROUND(F12*00_PARAMETROS!$B$13,2),0)</f>
        <v>750</v>
      </c>
      <c r="S12" s="24" t="n">
        <f aca="false">IF(P12+Q12&gt;0,SUMIFS(SELIC!$B$4:$B$96,SELIC!$A$4:$A$96,"&gt;="&amp;DATE(YEAR(B12),MONTH(B12)+1,1),SELIC!$A$4:$A$96,"&lt;="&amp;DATE(YEAR(00_PARAMETROS!$B$4),MONTH(00_PARAMETROS!$B$4)-1,1))+00_PARAMETROS!$B$11,0)</f>
        <v>0.2436</v>
      </c>
      <c r="T12" s="24" t="n">
        <f aca="false">IF(P12+Q12&gt;0,MIN(00_PARAMETROS!$B$9,00_PARAMETROS!$B$8*MAX(0,00_PARAMETROS!$B$4-B12)),0)</f>
        <v>0.2</v>
      </c>
      <c r="U12" s="11" t="n">
        <f aca="false">ROUND(P12*(1+S12+T12),2)</f>
        <v>0</v>
      </c>
      <c r="V12" s="11" t="n">
        <f aca="false">ROUND(Q12*(1+S12+T12),2)</f>
        <v>649.62</v>
      </c>
      <c r="W12" s="11" t="n">
        <f aca="false">ROUND(R12*(1+S12+T12),2)</f>
        <v>1082.7</v>
      </c>
      <c r="X12" s="10"/>
    </row>
    <row r="13" customFormat="false" ht="32.8" hidden="false" customHeight="false" outlineLevel="0" collapsed="false">
      <c r="A13" s="10" t="n">
        <v>9</v>
      </c>
      <c r="B13" s="19" t="n">
        <v>45613</v>
      </c>
      <c r="C13" s="21" t="n">
        <f aca="false">YEAR(B13)</f>
        <v>2024</v>
      </c>
      <c r="D13" s="10" t="s">
        <v>194</v>
      </c>
      <c r="E13" s="10" t="s">
        <v>132</v>
      </c>
      <c r="F13" s="11" t="n">
        <v>16000</v>
      </c>
      <c r="G13" s="10" t="s">
        <v>175</v>
      </c>
      <c r="H13" s="10" t="s">
        <v>187</v>
      </c>
      <c r="I13" s="10" t="s">
        <v>195</v>
      </c>
      <c r="J13" s="25" t="s">
        <v>190</v>
      </c>
      <c r="K13" s="22" t="s">
        <v>191</v>
      </c>
      <c r="L13" s="10" t="str">
        <f aca="false">IF(AND(G13="entrada",F13&gt;=00_PARAMETROS!$B$7),"SIM","NÃO")</f>
        <v>SIM</v>
      </c>
      <c r="M13" s="23"/>
      <c r="N13" s="24" t="n">
        <f aca="false">IFERROR(INDEX(00_PARAMETROS!$B$41:$B$54,MATCH(K13,00_PARAMETROS!$A$41:$A$54,0)),0)</f>
        <v>0</v>
      </c>
      <c r="O13" s="11" t="n">
        <f aca="false">IF(OR(G13&lt;&gt;"entrada",N13=0),0,IF(K13="VENDA_BEM_BR_GCAP",N(M13),F13))</f>
        <v>0</v>
      </c>
      <c r="P13" s="11" t="n">
        <f aca="false">ROUND(O13*N13,2)</f>
        <v>0</v>
      </c>
      <c r="Q13" s="11" t="n">
        <f aca="false">IF(AND(G13="entrada",K13="PENDENTE"),ROUND(F13*00_PARAMETROS!$B$12,2),0)</f>
        <v>2400</v>
      </c>
      <c r="R13" s="11" t="n">
        <f aca="false">IF(AND(G13="entrada",K13="PENDENTE"),ROUND(F13*00_PARAMETROS!$B$13,2),0)</f>
        <v>4000</v>
      </c>
      <c r="S13" s="24" t="n">
        <f aca="false">IF(P13+Q13&gt;0,SUMIFS(SELIC!$B$4:$B$96,SELIC!$A$4:$A$96,"&gt;="&amp;DATE(YEAR(B13),MONTH(B13)+1,1),SELIC!$A$4:$A$96,"&lt;="&amp;DATE(YEAR(00_PARAMETROS!$B$4),MONTH(00_PARAMETROS!$B$4)-1,1))+00_PARAMETROS!$B$11,0)</f>
        <v>0.2436</v>
      </c>
      <c r="T13" s="24" t="n">
        <f aca="false">IF(P13+Q13&gt;0,MIN(00_PARAMETROS!$B$9,00_PARAMETROS!$B$8*MAX(0,00_PARAMETROS!$B$4-B13)),0)</f>
        <v>0.2</v>
      </c>
      <c r="U13" s="11" t="n">
        <f aca="false">ROUND(P13*(1+S13+T13),2)</f>
        <v>0</v>
      </c>
      <c r="V13" s="11" t="n">
        <f aca="false">ROUND(Q13*(1+S13+T13),2)</f>
        <v>3464.64</v>
      </c>
      <c r="W13" s="11" t="n">
        <f aca="false">ROUND(R13*(1+S13+T13),2)</f>
        <v>5774.4</v>
      </c>
      <c r="X13" s="10"/>
    </row>
    <row r="14" customFormat="false" ht="32.8" hidden="false" customHeight="false" outlineLevel="0" collapsed="false">
      <c r="A14" s="10" t="n">
        <v>10</v>
      </c>
      <c r="B14" s="19" t="n">
        <v>45613</v>
      </c>
      <c r="C14" s="21" t="n">
        <f aca="false">YEAR(B14)</f>
        <v>2024</v>
      </c>
      <c r="D14" s="10" t="s">
        <v>196</v>
      </c>
      <c r="E14" s="10" t="s">
        <v>132</v>
      </c>
      <c r="F14" s="11" t="n">
        <v>8000</v>
      </c>
      <c r="G14" s="10" t="s">
        <v>175</v>
      </c>
      <c r="H14" s="10" t="s">
        <v>187</v>
      </c>
      <c r="I14" s="10" t="s">
        <v>195</v>
      </c>
      <c r="J14" s="25" t="s">
        <v>190</v>
      </c>
      <c r="K14" s="22" t="s">
        <v>191</v>
      </c>
      <c r="L14" s="10" t="str">
        <f aca="false">IF(AND(G14="entrada",F14&gt;=00_PARAMETROS!$B$7),"SIM","NÃO")</f>
        <v>NÃO</v>
      </c>
      <c r="M14" s="23"/>
      <c r="N14" s="24" t="n">
        <f aca="false">IFERROR(INDEX(00_PARAMETROS!$B$41:$B$54,MATCH(K14,00_PARAMETROS!$A$41:$A$54,0)),0)</f>
        <v>0</v>
      </c>
      <c r="O14" s="11" t="n">
        <f aca="false">IF(OR(G14&lt;&gt;"entrada",N14=0),0,IF(K14="VENDA_BEM_BR_GCAP",N(M14),F14))</f>
        <v>0</v>
      </c>
      <c r="P14" s="11" t="n">
        <f aca="false">ROUND(O14*N14,2)</f>
        <v>0</v>
      </c>
      <c r="Q14" s="11" t="n">
        <f aca="false">IF(AND(G14="entrada",K14="PENDENTE"),ROUND(F14*00_PARAMETROS!$B$12,2),0)</f>
        <v>1200</v>
      </c>
      <c r="R14" s="11" t="n">
        <f aca="false">IF(AND(G14="entrada",K14="PENDENTE"),ROUND(F14*00_PARAMETROS!$B$13,2),0)</f>
        <v>2000</v>
      </c>
      <c r="S14" s="24" t="n">
        <f aca="false">IF(P14+Q14&gt;0,SUMIFS(SELIC!$B$4:$B$96,SELIC!$A$4:$A$96,"&gt;="&amp;DATE(YEAR(B14),MONTH(B14)+1,1),SELIC!$A$4:$A$96,"&lt;="&amp;DATE(YEAR(00_PARAMETROS!$B$4),MONTH(00_PARAMETROS!$B$4)-1,1))+00_PARAMETROS!$B$11,0)</f>
        <v>0.2436</v>
      </c>
      <c r="T14" s="24" t="n">
        <f aca="false">IF(P14+Q14&gt;0,MIN(00_PARAMETROS!$B$9,00_PARAMETROS!$B$8*MAX(0,00_PARAMETROS!$B$4-B14)),0)</f>
        <v>0.2</v>
      </c>
      <c r="U14" s="11" t="n">
        <f aca="false">ROUND(P14*(1+S14+T14),2)</f>
        <v>0</v>
      </c>
      <c r="V14" s="11" t="n">
        <f aca="false">ROUND(Q14*(1+S14+T14),2)</f>
        <v>1732.32</v>
      </c>
      <c r="W14" s="11" t="n">
        <f aca="false">ROUND(R14*(1+S14+T14),2)</f>
        <v>2887.2</v>
      </c>
      <c r="X14" s="10"/>
    </row>
    <row r="15" customFormat="false" ht="32.8" hidden="false" customHeight="false" outlineLevel="0" collapsed="false">
      <c r="A15" s="10" t="n">
        <v>11</v>
      </c>
      <c r="B15" s="19" t="n">
        <v>45614</v>
      </c>
      <c r="C15" s="21" t="n">
        <f aca="false">YEAR(B15)</f>
        <v>2024</v>
      </c>
      <c r="D15" s="10" t="s">
        <v>194</v>
      </c>
      <c r="E15" s="10" t="s">
        <v>132</v>
      </c>
      <c r="F15" s="11" t="n">
        <v>4950</v>
      </c>
      <c r="G15" s="10" t="s">
        <v>175</v>
      </c>
      <c r="H15" s="10" t="s">
        <v>187</v>
      </c>
      <c r="I15" s="10" t="s">
        <v>195</v>
      </c>
      <c r="J15" s="25" t="s">
        <v>190</v>
      </c>
      <c r="K15" s="22" t="s">
        <v>191</v>
      </c>
      <c r="L15" s="10" t="str">
        <f aca="false">IF(AND(G15="entrada",F15&gt;=00_PARAMETROS!$B$7),"SIM","NÃO")</f>
        <v>NÃO</v>
      </c>
      <c r="M15" s="23"/>
      <c r="N15" s="24" t="n">
        <f aca="false">IFERROR(INDEX(00_PARAMETROS!$B$41:$B$54,MATCH(K15,00_PARAMETROS!$A$41:$A$54,0)),0)</f>
        <v>0</v>
      </c>
      <c r="O15" s="11" t="n">
        <f aca="false">IF(OR(G15&lt;&gt;"entrada",N15=0),0,IF(K15="VENDA_BEM_BR_GCAP",N(M15),F15))</f>
        <v>0</v>
      </c>
      <c r="P15" s="11" t="n">
        <f aca="false">ROUND(O15*N15,2)</f>
        <v>0</v>
      </c>
      <c r="Q15" s="11" t="n">
        <f aca="false">IF(AND(G15="entrada",K15="PENDENTE"),ROUND(F15*00_PARAMETROS!$B$12,2),0)</f>
        <v>742.5</v>
      </c>
      <c r="R15" s="11" t="n">
        <f aca="false">IF(AND(G15="entrada",K15="PENDENTE"),ROUND(F15*00_PARAMETROS!$B$13,2),0)</f>
        <v>1237.5</v>
      </c>
      <c r="S15" s="24" t="n">
        <f aca="false">IF(P15+Q15&gt;0,SUMIFS(SELIC!$B$4:$B$96,SELIC!$A$4:$A$96,"&gt;="&amp;DATE(YEAR(B15),MONTH(B15)+1,1),SELIC!$A$4:$A$96,"&lt;="&amp;DATE(YEAR(00_PARAMETROS!$B$4),MONTH(00_PARAMETROS!$B$4)-1,1))+00_PARAMETROS!$B$11,0)</f>
        <v>0.2436</v>
      </c>
      <c r="T15" s="24" t="n">
        <f aca="false">IF(P15+Q15&gt;0,MIN(00_PARAMETROS!$B$9,00_PARAMETROS!$B$8*MAX(0,00_PARAMETROS!$B$4-B15)),0)</f>
        <v>0.2</v>
      </c>
      <c r="U15" s="11" t="n">
        <f aca="false">ROUND(P15*(1+S15+T15),2)</f>
        <v>0</v>
      </c>
      <c r="V15" s="11" t="n">
        <f aca="false">ROUND(Q15*(1+S15+T15),2)</f>
        <v>1071.87</v>
      </c>
      <c r="W15" s="11" t="n">
        <f aca="false">ROUND(R15*(1+S15+T15),2)</f>
        <v>1786.46</v>
      </c>
      <c r="X15" s="10"/>
    </row>
    <row r="16" customFormat="false" ht="32.8" hidden="false" customHeight="false" outlineLevel="0" collapsed="false">
      <c r="A16" s="10" t="n">
        <v>12</v>
      </c>
      <c r="B16" s="19" t="n">
        <v>45614</v>
      </c>
      <c r="C16" s="21" t="n">
        <f aca="false">YEAR(B16)</f>
        <v>2024</v>
      </c>
      <c r="D16" s="10" t="s">
        <v>198</v>
      </c>
      <c r="E16" s="10" t="s">
        <v>199</v>
      </c>
      <c r="F16" s="11" t="n">
        <v>-200</v>
      </c>
      <c r="G16" s="10" t="s">
        <v>181</v>
      </c>
      <c r="H16" s="10" t="s">
        <v>187</v>
      </c>
      <c r="I16" s="10" t="s">
        <v>195</v>
      </c>
      <c r="J16" s="10" t="s">
        <v>188</v>
      </c>
      <c r="K16" s="22" t="s">
        <v>184</v>
      </c>
      <c r="L16" s="10" t="str">
        <f aca="false">IF(AND(G16="entrada",F16&gt;=00_PARAMETROS!$B$7),"SIM","NÃO")</f>
        <v>NÃO</v>
      </c>
      <c r="M16" s="23"/>
      <c r="N16" s="24" t="n">
        <f aca="false">IFERROR(INDEX(00_PARAMETROS!$B$41:$B$54,MATCH(K16,00_PARAMETROS!$A$41:$A$54,0)),0)</f>
        <v>0</v>
      </c>
      <c r="O16" s="11" t="n">
        <f aca="false">IF(OR(G16&lt;&gt;"entrada",N16=0),0,IF(K16="VENDA_BEM_BR_GCAP",N(M16),F16))</f>
        <v>0</v>
      </c>
      <c r="P16" s="11" t="n">
        <f aca="false">ROUND(O16*N16,2)</f>
        <v>0</v>
      </c>
      <c r="Q16" s="11" t="n">
        <f aca="false">IF(AND(G16="entrada",K16="PENDENTE"),ROUND(F16*00_PARAMETROS!$B$12,2),0)</f>
        <v>0</v>
      </c>
      <c r="R16" s="11" t="n">
        <f aca="false">IF(AND(G16="entrada",K16="PENDENTE"),ROUND(F16*00_PARAMETROS!$B$13,2),0)</f>
        <v>0</v>
      </c>
      <c r="S16" s="24" t="n">
        <f aca="false">IF(P16+Q16&gt;0,SUMIFS(SELIC!$B$4:$B$96,SELIC!$A$4:$A$96,"&gt;="&amp;DATE(YEAR(B16),MONTH(B16)+1,1),SELIC!$A$4:$A$96,"&lt;="&amp;DATE(YEAR(00_PARAMETROS!$B$4),MONTH(00_PARAMETROS!$B$4)-1,1))+00_PARAMETROS!$B$11,0)</f>
        <v>0</v>
      </c>
      <c r="T16" s="24" t="n">
        <f aca="false">IF(P16+Q16&gt;0,MIN(00_PARAMETROS!$B$9,00_PARAMETROS!$B$8*MAX(0,00_PARAMETROS!$B$4-B16)),0)</f>
        <v>0</v>
      </c>
      <c r="U16" s="11" t="n">
        <f aca="false">ROUND(P16*(1+S16+T16),2)</f>
        <v>0</v>
      </c>
      <c r="V16" s="11" t="n">
        <f aca="false">ROUND(Q16*(1+S16+T16),2)</f>
        <v>0</v>
      </c>
      <c r="W16" s="11" t="n">
        <f aca="false">ROUND(R16*(1+S16+T16),2)</f>
        <v>0</v>
      </c>
      <c r="X16" s="10"/>
    </row>
    <row r="17" customFormat="false" ht="43.25" hidden="false" customHeight="false" outlineLevel="0" collapsed="false">
      <c r="A17" s="10" t="n">
        <v>13</v>
      </c>
      <c r="B17" s="19" t="n">
        <v>45622</v>
      </c>
      <c r="C17" s="21" t="n">
        <f aca="false">YEAR(B17)</f>
        <v>2024</v>
      </c>
      <c r="D17" s="10" t="s">
        <v>185</v>
      </c>
      <c r="E17" s="10" t="s">
        <v>186</v>
      </c>
      <c r="F17" s="11" t="n">
        <v>-300</v>
      </c>
      <c r="G17" s="10" t="s">
        <v>181</v>
      </c>
      <c r="H17" s="10" t="s">
        <v>187</v>
      </c>
      <c r="I17" s="10" t="s">
        <v>195</v>
      </c>
      <c r="J17" s="10" t="s">
        <v>188</v>
      </c>
      <c r="K17" s="22" t="s">
        <v>184</v>
      </c>
      <c r="L17" s="10" t="str">
        <f aca="false">IF(AND(G17="entrada",F17&gt;=00_PARAMETROS!$B$7),"SIM","NÃO")</f>
        <v>NÃO</v>
      </c>
      <c r="M17" s="23"/>
      <c r="N17" s="24" t="n">
        <f aca="false">IFERROR(INDEX(00_PARAMETROS!$B$41:$B$54,MATCH(K17,00_PARAMETROS!$A$41:$A$54,0)),0)</f>
        <v>0</v>
      </c>
      <c r="O17" s="11" t="n">
        <f aca="false">IF(OR(G17&lt;&gt;"entrada",N17=0),0,IF(K17="VENDA_BEM_BR_GCAP",N(M17),F17))</f>
        <v>0</v>
      </c>
      <c r="P17" s="11" t="n">
        <f aca="false">ROUND(O17*N17,2)</f>
        <v>0</v>
      </c>
      <c r="Q17" s="11" t="n">
        <f aca="false">IF(AND(G17="entrada",K17="PENDENTE"),ROUND(F17*00_PARAMETROS!$B$12,2),0)</f>
        <v>0</v>
      </c>
      <c r="R17" s="11" t="n">
        <f aca="false">IF(AND(G17="entrada",K17="PENDENTE"),ROUND(F17*00_PARAMETROS!$B$13,2),0)</f>
        <v>0</v>
      </c>
      <c r="S17" s="24" t="n">
        <f aca="false">IF(P17+Q17&gt;0,SUMIFS(SELIC!$B$4:$B$96,SELIC!$A$4:$A$96,"&gt;="&amp;DATE(YEAR(B17),MONTH(B17)+1,1),SELIC!$A$4:$A$96,"&lt;="&amp;DATE(YEAR(00_PARAMETROS!$B$4),MONTH(00_PARAMETROS!$B$4)-1,1))+00_PARAMETROS!$B$11,0)</f>
        <v>0</v>
      </c>
      <c r="T17" s="24" t="n">
        <f aca="false">IF(P17+Q17&gt;0,MIN(00_PARAMETROS!$B$9,00_PARAMETROS!$B$8*MAX(0,00_PARAMETROS!$B$4-B17)),0)</f>
        <v>0</v>
      </c>
      <c r="U17" s="11" t="n">
        <f aca="false">ROUND(P17*(1+S17+T17),2)</f>
        <v>0</v>
      </c>
      <c r="V17" s="11" t="n">
        <f aca="false">ROUND(Q17*(1+S17+T17),2)</f>
        <v>0</v>
      </c>
      <c r="W17" s="11" t="n">
        <f aca="false">ROUND(R17*(1+S17+T17),2)</f>
        <v>0</v>
      </c>
      <c r="X17" s="10"/>
    </row>
    <row r="18" customFormat="false" ht="32.8" hidden="false" customHeight="false" outlineLevel="0" collapsed="false">
      <c r="A18" s="10" t="n">
        <v>14</v>
      </c>
      <c r="B18" s="19" t="n">
        <v>45625</v>
      </c>
      <c r="C18" s="21" t="n">
        <f aca="false">YEAR(B18)</f>
        <v>2024</v>
      </c>
      <c r="D18" s="10" t="s">
        <v>200</v>
      </c>
      <c r="E18" s="10" t="s">
        <v>135</v>
      </c>
      <c r="F18" s="11" t="n">
        <v>1000</v>
      </c>
      <c r="G18" s="10" t="s">
        <v>175</v>
      </c>
      <c r="H18" s="10" t="s">
        <v>187</v>
      </c>
      <c r="I18" s="10" t="s">
        <v>195</v>
      </c>
      <c r="J18" s="25" t="s">
        <v>190</v>
      </c>
      <c r="K18" s="22" t="s">
        <v>191</v>
      </c>
      <c r="L18" s="10" t="str">
        <f aca="false">IF(AND(G18="entrada",F18&gt;=00_PARAMETROS!$B$7),"SIM","NÃO")</f>
        <v>NÃO</v>
      </c>
      <c r="M18" s="23"/>
      <c r="N18" s="24" t="n">
        <f aca="false">IFERROR(INDEX(00_PARAMETROS!$B$41:$B$54,MATCH(K18,00_PARAMETROS!$A$41:$A$54,0)),0)</f>
        <v>0</v>
      </c>
      <c r="O18" s="11" t="n">
        <f aca="false">IF(OR(G18&lt;&gt;"entrada",N18=0),0,IF(K18="VENDA_BEM_BR_GCAP",N(M18),F18))</f>
        <v>0</v>
      </c>
      <c r="P18" s="11" t="n">
        <f aca="false">ROUND(O18*N18,2)</f>
        <v>0</v>
      </c>
      <c r="Q18" s="11" t="n">
        <f aca="false">IF(AND(G18="entrada",K18="PENDENTE"),ROUND(F18*00_PARAMETROS!$B$12,2),0)</f>
        <v>150</v>
      </c>
      <c r="R18" s="11" t="n">
        <f aca="false">IF(AND(G18="entrada",K18="PENDENTE"),ROUND(F18*00_PARAMETROS!$B$13,2),0)</f>
        <v>250</v>
      </c>
      <c r="S18" s="24" t="n">
        <f aca="false">IF(P18+Q18&gt;0,SUMIFS(SELIC!$B$4:$B$96,SELIC!$A$4:$A$96,"&gt;="&amp;DATE(YEAR(B18),MONTH(B18)+1,1),SELIC!$A$4:$A$96,"&lt;="&amp;DATE(YEAR(00_PARAMETROS!$B$4),MONTH(00_PARAMETROS!$B$4)-1,1))+00_PARAMETROS!$B$11,0)</f>
        <v>0.2436</v>
      </c>
      <c r="T18" s="24" t="n">
        <f aca="false">IF(P18+Q18&gt;0,MIN(00_PARAMETROS!$B$9,00_PARAMETROS!$B$8*MAX(0,00_PARAMETROS!$B$4-B18)),0)</f>
        <v>0.2</v>
      </c>
      <c r="U18" s="11" t="n">
        <f aca="false">ROUND(P18*(1+S18+T18),2)</f>
        <v>0</v>
      </c>
      <c r="V18" s="11" t="n">
        <f aca="false">ROUND(Q18*(1+S18+T18),2)</f>
        <v>216.54</v>
      </c>
      <c r="W18" s="11" t="n">
        <f aca="false">ROUND(R18*(1+S18+T18),2)</f>
        <v>360.9</v>
      </c>
      <c r="X18" s="10"/>
    </row>
    <row r="19" customFormat="false" ht="32.8" hidden="false" customHeight="false" outlineLevel="0" collapsed="false">
      <c r="A19" s="10" t="n">
        <v>15</v>
      </c>
      <c r="B19" s="19" t="n">
        <v>45630</v>
      </c>
      <c r="C19" s="21" t="n">
        <f aca="false">YEAR(B19)</f>
        <v>2024</v>
      </c>
      <c r="D19" s="10" t="s">
        <v>201</v>
      </c>
      <c r="E19" s="10" t="s">
        <v>202</v>
      </c>
      <c r="F19" s="11" t="n">
        <v>-400</v>
      </c>
      <c r="G19" s="10" t="s">
        <v>181</v>
      </c>
      <c r="H19" s="10" t="s">
        <v>187</v>
      </c>
      <c r="I19" s="10" t="s">
        <v>203</v>
      </c>
      <c r="J19" s="10" t="s">
        <v>188</v>
      </c>
      <c r="K19" s="22" t="s">
        <v>184</v>
      </c>
      <c r="L19" s="10" t="str">
        <f aca="false">IF(AND(G19="entrada",F19&gt;=00_PARAMETROS!$B$7),"SIM","NÃO")</f>
        <v>NÃO</v>
      </c>
      <c r="M19" s="23"/>
      <c r="N19" s="24" t="n">
        <f aca="false">IFERROR(INDEX(00_PARAMETROS!$B$41:$B$54,MATCH(K19,00_PARAMETROS!$A$41:$A$54,0)),0)</f>
        <v>0</v>
      </c>
      <c r="O19" s="11" t="n">
        <f aca="false">IF(OR(G19&lt;&gt;"entrada",N19=0),0,IF(K19="VENDA_BEM_BR_GCAP",N(M19),F19))</f>
        <v>0</v>
      </c>
      <c r="P19" s="11" t="n">
        <f aca="false">ROUND(O19*N19,2)</f>
        <v>0</v>
      </c>
      <c r="Q19" s="11" t="n">
        <f aca="false">IF(AND(G19="entrada",K19="PENDENTE"),ROUND(F19*00_PARAMETROS!$B$12,2),0)</f>
        <v>0</v>
      </c>
      <c r="R19" s="11" t="n">
        <f aca="false">IF(AND(G19="entrada",K19="PENDENTE"),ROUND(F19*00_PARAMETROS!$B$13,2),0)</f>
        <v>0</v>
      </c>
      <c r="S19" s="24" t="n">
        <f aca="false">IF(P19+Q19&gt;0,SUMIFS(SELIC!$B$4:$B$96,SELIC!$A$4:$A$96,"&gt;="&amp;DATE(YEAR(B19),MONTH(B19)+1,1),SELIC!$A$4:$A$96,"&lt;="&amp;DATE(YEAR(00_PARAMETROS!$B$4),MONTH(00_PARAMETROS!$B$4)-1,1))+00_PARAMETROS!$B$11,0)</f>
        <v>0</v>
      </c>
      <c r="T19" s="24" t="n">
        <f aca="false">IF(P19+Q19&gt;0,MIN(00_PARAMETROS!$B$9,00_PARAMETROS!$B$8*MAX(0,00_PARAMETROS!$B$4-B19)),0)</f>
        <v>0</v>
      </c>
      <c r="U19" s="11" t="n">
        <f aca="false">ROUND(P19*(1+S19+T19),2)</f>
        <v>0</v>
      </c>
      <c r="V19" s="11" t="n">
        <f aca="false">ROUND(Q19*(1+S19+T19),2)</f>
        <v>0</v>
      </c>
      <c r="W19" s="11" t="n">
        <f aca="false">ROUND(R19*(1+S19+T19),2)</f>
        <v>0</v>
      </c>
      <c r="X19" s="10"/>
    </row>
    <row r="20" customFormat="false" ht="32.8" hidden="false" customHeight="false" outlineLevel="0" collapsed="false">
      <c r="A20" s="10" t="n">
        <v>16</v>
      </c>
      <c r="B20" s="19" t="n">
        <v>45631</v>
      </c>
      <c r="C20" s="21" t="n">
        <f aca="false">YEAR(B20)</f>
        <v>2024</v>
      </c>
      <c r="D20" s="10" t="s">
        <v>204</v>
      </c>
      <c r="E20" s="10" t="s">
        <v>134</v>
      </c>
      <c r="F20" s="11" t="n">
        <v>500</v>
      </c>
      <c r="G20" s="10" t="s">
        <v>175</v>
      </c>
      <c r="H20" s="10" t="s">
        <v>187</v>
      </c>
      <c r="I20" s="10" t="s">
        <v>203</v>
      </c>
      <c r="J20" s="25" t="s">
        <v>190</v>
      </c>
      <c r="K20" s="22" t="s">
        <v>191</v>
      </c>
      <c r="L20" s="10" t="str">
        <f aca="false">IF(AND(G20="entrada",F20&gt;=00_PARAMETROS!$B$7),"SIM","NÃO")</f>
        <v>NÃO</v>
      </c>
      <c r="M20" s="23"/>
      <c r="N20" s="24" t="n">
        <f aca="false">IFERROR(INDEX(00_PARAMETROS!$B$41:$B$54,MATCH(K20,00_PARAMETROS!$A$41:$A$54,0)),0)</f>
        <v>0</v>
      </c>
      <c r="O20" s="11" t="n">
        <f aca="false">IF(OR(G20&lt;&gt;"entrada",N20=0),0,IF(K20="VENDA_BEM_BR_GCAP",N(M20),F20))</f>
        <v>0</v>
      </c>
      <c r="P20" s="11" t="n">
        <f aca="false">ROUND(O20*N20,2)</f>
        <v>0</v>
      </c>
      <c r="Q20" s="11" t="n">
        <f aca="false">IF(AND(G20="entrada",K20="PENDENTE"),ROUND(F20*00_PARAMETROS!$B$12,2),0)</f>
        <v>75</v>
      </c>
      <c r="R20" s="11" t="n">
        <f aca="false">IF(AND(G20="entrada",K20="PENDENTE"),ROUND(F20*00_PARAMETROS!$B$13,2),0)</f>
        <v>125</v>
      </c>
      <c r="S20" s="24" t="n">
        <f aca="false">IF(P20+Q20&gt;0,SUMIFS(SELIC!$B$4:$B$96,SELIC!$A$4:$A$96,"&gt;="&amp;DATE(YEAR(B20),MONTH(B20)+1,1),SELIC!$A$4:$A$96,"&lt;="&amp;DATE(YEAR(00_PARAMETROS!$B$4),MONTH(00_PARAMETROS!$B$4)-1,1))+00_PARAMETROS!$B$11,0)</f>
        <v>0.2343</v>
      </c>
      <c r="T20" s="24" t="n">
        <f aca="false">IF(P20+Q20&gt;0,MIN(00_PARAMETROS!$B$9,00_PARAMETROS!$B$8*MAX(0,00_PARAMETROS!$B$4-B20)),0)</f>
        <v>0.2</v>
      </c>
      <c r="U20" s="11" t="n">
        <f aca="false">ROUND(P20*(1+S20+T20),2)</f>
        <v>0</v>
      </c>
      <c r="V20" s="11" t="n">
        <f aca="false">ROUND(Q20*(1+S20+T20),2)</f>
        <v>107.57</v>
      </c>
      <c r="W20" s="11" t="n">
        <f aca="false">ROUND(R20*(1+S20+T20),2)</f>
        <v>179.29</v>
      </c>
      <c r="X20" s="10"/>
    </row>
    <row r="21" customFormat="false" ht="32.8" hidden="false" customHeight="false" outlineLevel="0" collapsed="false">
      <c r="A21" s="10" t="n">
        <v>17</v>
      </c>
      <c r="B21" s="19" t="n">
        <v>45643</v>
      </c>
      <c r="C21" s="21" t="n">
        <f aca="false">YEAR(B21)</f>
        <v>2024</v>
      </c>
      <c r="D21" s="10" t="s">
        <v>205</v>
      </c>
      <c r="E21" s="10" t="s">
        <v>206</v>
      </c>
      <c r="F21" s="11" t="n">
        <v>-9000</v>
      </c>
      <c r="G21" s="10" t="s">
        <v>181</v>
      </c>
      <c r="H21" s="10" t="s">
        <v>187</v>
      </c>
      <c r="I21" s="10" t="s">
        <v>203</v>
      </c>
      <c r="J21" s="10" t="s">
        <v>188</v>
      </c>
      <c r="K21" s="22" t="s">
        <v>184</v>
      </c>
      <c r="L21" s="10" t="str">
        <f aca="false">IF(AND(G21="entrada",F21&gt;=00_PARAMETROS!$B$7),"SIM","NÃO")</f>
        <v>NÃO</v>
      </c>
      <c r="M21" s="23"/>
      <c r="N21" s="24" t="n">
        <f aca="false">IFERROR(INDEX(00_PARAMETROS!$B$41:$B$54,MATCH(K21,00_PARAMETROS!$A$41:$A$54,0)),0)</f>
        <v>0</v>
      </c>
      <c r="O21" s="11" t="n">
        <f aca="false">IF(OR(G21&lt;&gt;"entrada",N21=0),0,IF(K21="VENDA_BEM_BR_GCAP",N(M21),F21))</f>
        <v>0</v>
      </c>
      <c r="P21" s="11" t="n">
        <f aca="false">ROUND(O21*N21,2)</f>
        <v>0</v>
      </c>
      <c r="Q21" s="11" t="n">
        <f aca="false">IF(AND(G21="entrada",K21="PENDENTE"),ROUND(F21*00_PARAMETROS!$B$12,2),0)</f>
        <v>0</v>
      </c>
      <c r="R21" s="11" t="n">
        <f aca="false">IF(AND(G21="entrada",K21="PENDENTE"),ROUND(F21*00_PARAMETROS!$B$13,2),0)</f>
        <v>0</v>
      </c>
      <c r="S21" s="24" t="n">
        <f aca="false">IF(P21+Q21&gt;0,SUMIFS(SELIC!$B$4:$B$96,SELIC!$A$4:$A$96,"&gt;="&amp;DATE(YEAR(B21),MONTH(B21)+1,1),SELIC!$A$4:$A$96,"&lt;="&amp;DATE(YEAR(00_PARAMETROS!$B$4),MONTH(00_PARAMETROS!$B$4)-1,1))+00_PARAMETROS!$B$11,0)</f>
        <v>0</v>
      </c>
      <c r="T21" s="24" t="n">
        <f aca="false">IF(P21+Q21&gt;0,MIN(00_PARAMETROS!$B$9,00_PARAMETROS!$B$8*MAX(0,00_PARAMETROS!$B$4-B21)),0)</f>
        <v>0</v>
      </c>
      <c r="U21" s="11" t="n">
        <f aca="false">ROUND(P21*(1+S21+T21),2)</f>
        <v>0</v>
      </c>
      <c r="V21" s="11" t="n">
        <f aca="false">ROUND(Q21*(1+S21+T21),2)</f>
        <v>0</v>
      </c>
      <c r="W21" s="11" t="n">
        <f aca="false">ROUND(R21*(1+S21+T21),2)</f>
        <v>0</v>
      </c>
      <c r="X21" s="10"/>
    </row>
    <row r="22" customFormat="false" ht="32.8" hidden="false" customHeight="false" outlineLevel="0" collapsed="false">
      <c r="A22" s="10" t="n">
        <v>18</v>
      </c>
      <c r="B22" s="19" t="n">
        <v>45644</v>
      </c>
      <c r="C22" s="21" t="n">
        <f aca="false">YEAR(B22)</f>
        <v>2024</v>
      </c>
      <c r="D22" s="10" t="s">
        <v>207</v>
      </c>
      <c r="E22" s="10" t="s">
        <v>208</v>
      </c>
      <c r="F22" s="11" t="n">
        <v>-1000</v>
      </c>
      <c r="G22" s="10" t="s">
        <v>181</v>
      </c>
      <c r="H22" s="10" t="s">
        <v>187</v>
      </c>
      <c r="I22" s="10" t="s">
        <v>203</v>
      </c>
      <c r="J22" s="10" t="s">
        <v>188</v>
      </c>
      <c r="K22" s="22" t="s">
        <v>184</v>
      </c>
      <c r="L22" s="10" t="str">
        <f aca="false">IF(AND(G22="entrada",F22&gt;=00_PARAMETROS!$B$7),"SIM","NÃO")</f>
        <v>NÃO</v>
      </c>
      <c r="M22" s="23"/>
      <c r="N22" s="24" t="n">
        <f aca="false">IFERROR(INDEX(00_PARAMETROS!$B$41:$B$54,MATCH(K22,00_PARAMETROS!$A$41:$A$54,0)),0)</f>
        <v>0</v>
      </c>
      <c r="O22" s="11" t="n">
        <f aca="false">IF(OR(G22&lt;&gt;"entrada",N22=0),0,IF(K22="VENDA_BEM_BR_GCAP",N(M22),F22))</f>
        <v>0</v>
      </c>
      <c r="P22" s="11" t="n">
        <f aca="false">ROUND(O22*N22,2)</f>
        <v>0</v>
      </c>
      <c r="Q22" s="11" t="n">
        <f aca="false">IF(AND(G22="entrada",K22="PENDENTE"),ROUND(F22*00_PARAMETROS!$B$12,2),0)</f>
        <v>0</v>
      </c>
      <c r="R22" s="11" t="n">
        <f aca="false">IF(AND(G22="entrada",K22="PENDENTE"),ROUND(F22*00_PARAMETROS!$B$13,2),0)</f>
        <v>0</v>
      </c>
      <c r="S22" s="24" t="n">
        <f aca="false">IF(P22+Q22&gt;0,SUMIFS(SELIC!$B$4:$B$96,SELIC!$A$4:$A$96,"&gt;="&amp;DATE(YEAR(B22),MONTH(B22)+1,1),SELIC!$A$4:$A$96,"&lt;="&amp;DATE(YEAR(00_PARAMETROS!$B$4),MONTH(00_PARAMETROS!$B$4)-1,1))+00_PARAMETROS!$B$11,0)</f>
        <v>0</v>
      </c>
      <c r="T22" s="24" t="n">
        <f aca="false">IF(P22+Q22&gt;0,MIN(00_PARAMETROS!$B$9,00_PARAMETROS!$B$8*MAX(0,00_PARAMETROS!$B$4-B22)),0)</f>
        <v>0</v>
      </c>
      <c r="U22" s="11" t="n">
        <f aca="false">ROUND(P22*(1+S22+T22),2)</f>
        <v>0</v>
      </c>
      <c r="V22" s="11" t="n">
        <f aca="false">ROUND(Q22*(1+S22+T22),2)</f>
        <v>0</v>
      </c>
      <c r="W22" s="11" t="n">
        <f aca="false">ROUND(R22*(1+S22+T22),2)</f>
        <v>0</v>
      </c>
      <c r="X22" s="10"/>
    </row>
    <row r="23" customFormat="false" ht="32.8" hidden="false" customHeight="false" outlineLevel="0" collapsed="false">
      <c r="A23" s="10" t="n">
        <v>19</v>
      </c>
      <c r="B23" s="19" t="n">
        <v>45645</v>
      </c>
      <c r="C23" s="21" t="n">
        <f aca="false">YEAR(B23)</f>
        <v>2024</v>
      </c>
      <c r="D23" s="10" t="s">
        <v>209</v>
      </c>
      <c r="E23" s="10" t="s">
        <v>210</v>
      </c>
      <c r="F23" s="11" t="n">
        <v>-1300</v>
      </c>
      <c r="G23" s="10" t="s">
        <v>181</v>
      </c>
      <c r="H23" s="10" t="s">
        <v>187</v>
      </c>
      <c r="I23" s="10" t="s">
        <v>203</v>
      </c>
      <c r="J23" s="10" t="s">
        <v>188</v>
      </c>
      <c r="K23" s="22" t="s">
        <v>184</v>
      </c>
      <c r="L23" s="10" t="str">
        <f aca="false">IF(AND(G23="entrada",F23&gt;=00_PARAMETROS!$B$7),"SIM","NÃO")</f>
        <v>NÃO</v>
      </c>
      <c r="M23" s="23"/>
      <c r="N23" s="24" t="n">
        <f aca="false">IFERROR(INDEX(00_PARAMETROS!$B$41:$B$54,MATCH(K23,00_PARAMETROS!$A$41:$A$54,0)),0)</f>
        <v>0</v>
      </c>
      <c r="O23" s="11" t="n">
        <f aca="false">IF(OR(G23&lt;&gt;"entrada",N23=0),0,IF(K23="VENDA_BEM_BR_GCAP",N(M23),F23))</f>
        <v>0</v>
      </c>
      <c r="P23" s="11" t="n">
        <f aca="false">ROUND(O23*N23,2)</f>
        <v>0</v>
      </c>
      <c r="Q23" s="11" t="n">
        <f aca="false">IF(AND(G23="entrada",K23="PENDENTE"),ROUND(F23*00_PARAMETROS!$B$12,2),0)</f>
        <v>0</v>
      </c>
      <c r="R23" s="11" t="n">
        <f aca="false">IF(AND(G23="entrada",K23="PENDENTE"),ROUND(F23*00_PARAMETROS!$B$13,2),0)</f>
        <v>0</v>
      </c>
      <c r="S23" s="24" t="n">
        <f aca="false">IF(P23+Q23&gt;0,SUMIFS(SELIC!$B$4:$B$96,SELIC!$A$4:$A$96,"&gt;="&amp;DATE(YEAR(B23),MONTH(B23)+1,1),SELIC!$A$4:$A$96,"&lt;="&amp;DATE(YEAR(00_PARAMETROS!$B$4),MONTH(00_PARAMETROS!$B$4)-1,1))+00_PARAMETROS!$B$11,0)</f>
        <v>0</v>
      </c>
      <c r="T23" s="24" t="n">
        <f aca="false">IF(P23+Q23&gt;0,MIN(00_PARAMETROS!$B$9,00_PARAMETROS!$B$8*MAX(0,00_PARAMETROS!$B$4-B23)),0)</f>
        <v>0</v>
      </c>
      <c r="U23" s="11" t="n">
        <f aca="false">ROUND(P23*(1+S23+T23),2)</f>
        <v>0</v>
      </c>
      <c r="V23" s="11" t="n">
        <f aca="false">ROUND(Q23*(1+S23+T23),2)</f>
        <v>0</v>
      </c>
      <c r="W23" s="11" t="n">
        <f aca="false">ROUND(R23*(1+S23+T23),2)</f>
        <v>0</v>
      </c>
      <c r="X23" s="10"/>
    </row>
    <row r="24" customFormat="false" ht="32.8" hidden="false" customHeight="false" outlineLevel="0" collapsed="false">
      <c r="A24" s="10" t="n">
        <v>20</v>
      </c>
      <c r="B24" s="19" t="n">
        <v>45646</v>
      </c>
      <c r="C24" s="21" t="n">
        <f aca="false">YEAR(B24)</f>
        <v>2024</v>
      </c>
      <c r="D24" s="10" t="s">
        <v>211</v>
      </c>
      <c r="E24" s="10" t="s">
        <v>186</v>
      </c>
      <c r="F24" s="11" t="n">
        <v>200</v>
      </c>
      <c r="G24" s="10" t="s">
        <v>175</v>
      </c>
      <c r="H24" s="10" t="s">
        <v>212</v>
      </c>
      <c r="I24" s="10" t="s">
        <v>203</v>
      </c>
      <c r="J24" s="10" t="s">
        <v>213</v>
      </c>
      <c r="K24" s="22" t="s">
        <v>214</v>
      </c>
      <c r="L24" s="10" t="str">
        <f aca="false">IF(AND(G24="entrada",F24&gt;=00_PARAMETROS!$B$7),"SIM","NÃO")</f>
        <v>NÃO</v>
      </c>
      <c r="M24" s="23"/>
      <c r="N24" s="24" t="n">
        <f aca="false">IFERROR(INDEX(00_PARAMETROS!$B$41:$B$54,MATCH(K24,00_PARAMETROS!$A$41:$A$54,0)),0)</f>
        <v>0</v>
      </c>
      <c r="O24" s="11" t="n">
        <f aca="false">IF(OR(G24&lt;&gt;"entrada",N24=0),0,IF(K24="VENDA_BEM_BR_GCAP",N(M24),F24))</f>
        <v>0</v>
      </c>
      <c r="P24" s="11" t="n">
        <f aca="false">ROUND(O24*N24,2)</f>
        <v>0</v>
      </c>
      <c r="Q24" s="11" t="n">
        <f aca="false">IF(AND(G24="entrada",K24="PENDENTE"),ROUND(F24*00_PARAMETROS!$B$12,2),0)</f>
        <v>0</v>
      </c>
      <c r="R24" s="11" t="n">
        <f aca="false">IF(AND(G24="entrada",K24="PENDENTE"),ROUND(F24*00_PARAMETROS!$B$13,2),0)</f>
        <v>0</v>
      </c>
      <c r="S24" s="24" t="n">
        <f aca="false">IF(P24+Q24&gt;0,SUMIFS(SELIC!$B$4:$B$96,SELIC!$A$4:$A$96,"&gt;="&amp;DATE(YEAR(B24),MONTH(B24)+1,1),SELIC!$A$4:$A$96,"&lt;="&amp;DATE(YEAR(00_PARAMETROS!$B$4),MONTH(00_PARAMETROS!$B$4)-1,1))+00_PARAMETROS!$B$11,0)</f>
        <v>0</v>
      </c>
      <c r="T24" s="24" t="n">
        <f aca="false">IF(P24+Q24&gt;0,MIN(00_PARAMETROS!$B$9,00_PARAMETROS!$B$8*MAX(0,00_PARAMETROS!$B$4-B24)),0)</f>
        <v>0</v>
      </c>
      <c r="U24" s="11" t="n">
        <f aca="false">ROUND(P24*(1+S24+T24),2)</f>
        <v>0</v>
      </c>
      <c r="V24" s="11" t="n">
        <f aca="false">ROUND(Q24*(1+S24+T24),2)</f>
        <v>0</v>
      </c>
      <c r="W24" s="11" t="n">
        <f aca="false">ROUND(R24*(1+S24+T24),2)</f>
        <v>0</v>
      </c>
      <c r="X24" s="10"/>
    </row>
    <row r="25" customFormat="false" ht="43.25" hidden="false" customHeight="false" outlineLevel="0" collapsed="false">
      <c r="A25" s="10" t="n">
        <v>21</v>
      </c>
      <c r="B25" s="19" t="n">
        <v>45646</v>
      </c>
      <c r="C25" s="21" t="n">
        <f aca="false">YEAR(B25)</f>
        <v>2024</v>
      </c>
      <c r="D25" s="10" t="s">
        <v>185</v>
      </c>
      <c r="E25" s="10" t="s">
        <v>186</v>
      </c>
      <c r="F25" s="11" t="n">
        <v>-200</v>
      </c>
      <c r="G25" s="10" t="s">
        <v>181</v>
      </c>
      <c r="H25" s="10" t="s">
        <v>187</v>
      </c>
      <c r="I25" s="10" t="s">
        <v>203</v>
      </c>
      <c r="J25" s="10" t="s">
        <v>188</v>
      </c>
      <c r="K25" s="22" t="s">
        <v>184</v>
      </c>
      <c r="L25" s="10" t="str">
        <f aca="false">IF(AND(G25="entrada",F25&gt;=00_PARAMETROS!$B$7),"SIM","NÃO")</f>
        <v>NÃO</v>
      </c>
      <c r="M25" s="23"/>
      <c r="N25" s="24" t="n">
        <f aca="false">IFERROR(INDEX(00_PARAMETROS!$B$41:$B$54,MATCH(K25,00_PARAMETROS!$A$41:$A$54,0)),0)</f>
        <v>0</v>
      </c>
      <c r="O25" s="11" t="n">
        <f aca="false">IF(OR(G25&lt;&gt;"entrada",N25=0),0,IF(K25="VENDA_BEM_BR_GCAP",N(M25),F25))</f>
        <v>0</v>
      </c>
      <c r="P25" s="11" t="n">
        <f aca="false">ROUND(O25*N25,2)</f>
        <v>0</v>
      </c>
      <c r="Q25" s="11" t="n">
        <f aca="false">IF(AND(G25="entrada",K25="PENDENTE"),ROUND(F25*00_PARAMETROS!$B$12,2),0)</f>
        <v>0</v>
      </c>
      <c r="R25" s="11" t="n">
        <f aca="false">IF(AND(G25="entrada",K25="PENDENTE"),ROUND(F25*00_PARAMETROS!$B$13,2),0)</f>
        <v>0</v>
      </c>
      <c r="S25" s="24" t="n">
        <f aca="false">IF(P25+Q25&gt;0,SUMIFS(SELIC!$B$4:$B$96,SELIC!$A$4:$A$96,"&gt;="&amp;DATE(YEAR(B25),MONTH(B25)+1,1),SELIC!$A$4:$A$96,"&lt;="&amp;DATE(YEAR(00_PARAMETROS!$B$4),MONTH(00_PARAMETROS!$B$4)-1,1))+00_PARAMETROS!$B$11,0)</f>
        <v>0</v>
      </c>
      <c r="T25" s="24" t="n">
        <f aca="false">IF(P25+Q25&gt;0,MIN(00_PARAMETROS!$B$9,00_PARAMETROS!$B$8*MAX(0,00_PARAMETROS!$B$4-B25)),0)</f>
        <v>0</v>
      </c>
      <c r="U25" s="11" t="n">
        <f aca="false">ROUND(P25*(1+S25+T25),2)</f>
        <v>0</v>
      </c>
      <c r="V25" s="11" t="n">
        <f aca="false">ROUND(Q25*(1+S25+T25),2)</f>
        <v>0</v>
      </c>
      <c r="W25" s="11" t="n">
        <f aca="false">ROUND(R25*(1+S25+T25),2)</f>
        <v>0</v>
      </c>
      <c r="X25" s="10"/>
    </row>
    <row r="26" customFormat="false" ht="43.25" hidden="false" customHeight="false" outlineLevel="0" collapsed="false">
      <c r="A26" s="10" t="n">
        <v>22</v>
      </c>
      <c r="B26" s="19" t="n">
        <v>45646</v>
      </c>
      <c r="C26" s="21" t="n">
        <f aca="false">YEAR(B26)</f>
        <v>2024</v>
      </c>
      <c r="D26" s="10" t="s">
        <v>185</v>
      </c>
      <c r="E26" s="10" t="s">
        <v>186</v>
      </c>
      <c r="F26" s="11" t="n">
        <v>-200</v>
      </c>
      <c r="G26" s="10" t="s">
        <v>181</v>
      </c>
      <c r="H26" s="10" t="s">
        <v>187</v>
      </c>
      <c r="I26" s="10" t="s">
        <v>203</v>
      </c>
      <c r="J26" s="10" t="s">
        <v>188</v>
      </c>
      <c r="K26" s="22" t="s">
        <v>184</v>
      </c>
      <c r="L26" s="10" t="str">
        <f aca="false">IF(AND(G26="entrada",F26&gt;=00_PARAMETROS!$B$7),"SIM","NÃO")</f>
        <v>NÃO</v>
      </c>
      <c r="M26" s="23"/>
      <c r="N26" s="24" t="n">
        <f aca="false">IFERROR(INDEX(00_PARAMETROS!$B$41:$B$54,MATCH(K26,00_PARAMETROS!$A$41:$A$54,0)),0)</f>
        <v>0</v>
      </c>
      <c r="O26" s="11" t="n">
        <f aca="false">IF(OR(G26&lt;&gt;"entrada",N26=0),0,IF(K26="VENDA_BEM_BR_GCAP",N(M26),F26))</f>
        <v>0</v>
      </c>
      <c r="P26" s="11" t="n">
        <f aca="false">ROUND(O26*N26,2)</f>
        <v>0</v>
      </c>
      <c r="Q26" s="11" t="n">
        <f aca="false">IF(AND(G26="entrada",K26="PENDENTE"),ROUND(F26*00_PARAMETROS!$B$12,2),0)</f>
        <v>0</v>
      </c>
      <c r="R26" s="11" t="n">
        <f aca="false">IF(AND(G26="entrada",K26="PENDENTE"),ROUND(F26*00_PARAMETROS!$B$13,2),0)</f>
        <v>0</v>
      </c>
      <c r="S26" s="24" t="n">
        <f aca="false">IF(P26+Q26&gt;0,SUMIFS(SELIC!$B$4:$B$96,SELIC!$A$4:$A$96,"&gt;="&amp;DATE(YEAR(B26),MONTH(B26)+1,1),SELIC!$A$4:$A$96,"&lt;="&amp;DATE(YEAR(00_PARAMETROS!$B$4),MONTH(00_PARAMETROS!$B$4)-1,1))+00_PARAMETROS!$B$11,0)</f>
        <v>0</v>
      </c>
      <c r="T26" s="24" t="n">
        <f aca="false">IF(P26+Q26&gt;0,MIN(00_PARAMETROS!$B$9,00_PARAMETROS!$B$8*MAX(0,00_PARAMETROS!$B$4-B26)),0)</f>
        <v>0</v>
      </c>
      <c r="U26" s="11" t="n">
        <f aca="false">ROUND(P26*(1+S26+T26),2)</f>
        <v>0</v>
      </c>
      <c r="V26" s="11" t="n">
        <f aca="false">ROUND(Q26*(1+S26+T26),2)</f>
        <v>0</v>
      </c>
      <c r="W26" s="11" t="n">
        <f aca="false">ROUND(R26*(1+S26+T26),2)</f>
        <v>0</v>
      </c>
      <c r="X26" s="10"/>
    </row>
    <row r="27" customFormat="false" ht="32.8" hidden="false" customHeight="false" outlineLevel="0" collapsed="false">
      <c r="A27" s="10" t="n">
        <v>23</v>
      </c>
      <c r="B27" s="19" t="n">
        <v>45646</v>
      </c>
      <c r="C27" s="21" t="n">
        <f aca="false">YEAR(B27)</f>
        <v>2024</v>
      </c>
      <c r="D27" s="10" t="s">
        <v>215</v>
      </c>
      <c r="E27" s="10" t="s">
        <v>210</v>
      </c>
      <c r="F27" s="11" t="n">
        <v>-320</v>
      </c>
      <c r="G27" s="10" t="s">
        <v>181</v>
      </c>
      <c r="H27" s="10" t="s">
        <v>187</v>
      </c>
      <c r="I27" s="10" t="s">
        <v>203</v>
      </c>
      <c r="J27" s="10" t="s">
        <v>188</v>
      </c>
      <c r="K27" s="22" t="s">
        <v>184</v>
      </c>
      <c r="L27" s="10" t="str">
        <f aca="false">IF(AND(G27="entrada",F27&gt;=00_PARAMETROS!$B$7),"SIM","NÃO")</f>
        <v>NÃO</v>
      </c>
      <c r="M27" s="23"/>
      <c r="N27" s="24" t="n">
        <f aca="false">IFERROR(INDEX(00_PARAMETROS!$B$41:$B$54,MATCH(K27,00_PARAMETROS!$A$41:$A$54,0)),0)</f>
        <v>0</v>
      </c>
      <c r="O27" s="11" t="n">
        <f aca="false">IF(OR(G27&lt;&gt;"entrada",N27=0),0,IF(K27="VENDA_BEM_BR_GCAP",N(M27),F27))</f>
        <v>0</v>
      </c>
      <c r="P27" s="11" t="n">
        <f aca="false">ROUND(O27*N27,2)</f>
        <v>0</v>
      </c>
      <c r="Q27" s="11" t="n">
        <f aca="false">IF(AND(G27="entrada",K27="PENDENTE"),ROUND(F27*00_PARAMETROS!$B$12,2),0)</f>
        <v>0</v>
      </c>
      <c r="R27" s="11" t="n">
        <f aca="false">IF(AND(G27="entrada",K27="PENDENTE"),ROUND(F27*00_PARAMETROS!$B$13,2),0)</f>
        <v>0</v>
      </c>
      <c r="S27" s="24" t="n">
        <f aca="false">IF(P27+Q27&gt;0,SUMIFS(SELIC!$B$4:$B$96,SELIC!$A$4:$A$96,"&gt;="&amp;DATE(YEAR(B27),MONTH(B27)+1,1),SELIC!$A$4:$A$96,"&lt;="&amp;DATE(YEAR(00_PARAMETROS!$B$4),MONTH(00_PARAMETROS!$B$4)-1,1))+00_PARAMETROS!$B$11,0)</f>
        <v>0</v>
      </c>
      <c r="T27" s="24" t="n">
        <f aca="false">IF(P27+Q27&gt;0,MIN(00_PARAMETROS!$B$9,00_PARAMETROS!$B$8*MAX(0,00_PARAMETROS!$B$4-B27)),0)</f>
        <v>0</v>
      </c>
      <c r="U27" s="11" t="n">
        <f aca="false">ROUND(P27*(1+S27+T27),2)</f>
        <v>0</v>
      </c>
      <c r="V27" s="11" t="n">
        <f aca="false">ROUND(Q27*(1+S27+T27),2)</f>
        <v>0</v>
      </c>
      <c r="W27" s="11" t="n">
        <f aca="false">ROUND(R27*(1+S27+T27),2)</f>
        <v>0</v>
      </c>
      <c r="X27" s="10"/>
    </row>
    <row r="28" customFormat="false" ht="32.8" hidden="false" customHeight="false" outlineLevel="0" collapsed="false">
      <c r="A28" s="10" t="n">
        <v>24</v>
      </c>
      <c r="B28" s="19" t="n">
        <v>45658</v>
      </c>
      <c r="C28" s="21" t="n">
        <f aca="false">YEAR(B28)</f>
        <v>2025</v>
      </c>
      <c r="D28" s="10" t="s">
        <v>216</v>
      </c>
      <c r="E28" s="10" t="s">
        <v>217</v>
      </c>
      <c r="F28" s="11" t="n">
        <v>-300</v>
      </c>
      <c r="G28" s="10" t="s">
        <v>181</v>
      </c>
      <c r="H28" s="10" t="s">
        <v>187</v>
      </c>
      <c r="I28" s="10" t="s">
        <v>218</v>
      </c>
      <c r="J28" s="10" t="s">
        <v>188</v>
      </c>
      <c r="K28" s="22" t="s">
        <v>184</v>
      </c>
      <c r="L28" s="10" t="str">
        <f aca="false">IF(AND(G28="entrada",F28&gt;=00_PARAMETROS!$B$7),"SIM","NÃO")</f>
        <v>NÃO</v>
      </c>
      <c r="M28" s="23"/>
      <c r="N28" s="24" t="n">
        <f aca="false">IFERROR(INDEX(00_PARAMETROS!$B$41:$B$54,MATCH(K28,00_PARAMETROS!$A$41:$A$54,0)),0)</f>
        <v>0</v>
      </c>
      <c r="O28" s="11" t="n">
        <f aca="false">IF(OR(G28&lt;&gt;"entrada",N28=0),0,IF(K28="VENDA_BEM_BR_GCAP",N(M28),F28))</f>
        <v>0</v>
      </c>
      <c r="P28" s="11" t="n">
        <f aca="false">ROUND(O28*N28,2)</f>
        <v>0</v>
      </c>
      <c r="Q28" s="11" t="n">
        <f aca="false">IF(AND(G28="entrada",K28="PENDENTE"),ROUND(F28*00_PARAMETROS!$B$12,2),0)</f>
        <v>0</v>
      </c>
      <c r="R28" s="11" t="n">
        <f aca="false">IF(AND(G28="entrada",K28="PENDENTE"),ROUND(F28*00_PARAMETROS!$B$13,2),0)</f>
        <v>0</v>
      </c>
      <c r="S28" s="24" t="n">
        <f aca="false">IF(P28+Q28&gt;0,SUMIFS(SELIC!$B$4:$B$96,SELIC!$A$4:$A$96,"&gt;="&amp;DATE(YEAR(B28),MONTH(B28)+1,1),SELIC!$A$4:$A$96,"&lt;="&amp;DATE(YEAR(00_PARAMETROS!$B$4),MONTH(00_PARAMETROS!$B$4)-1,1))+00_PARAMETROS!$B$11,0)</f>
        <v>0</v>
      </c>
      <c r="T28" s="24" t="n">
        <f aca="false">IF(P28+Q28&gt;0,MIN(00_PARAMETROS!$B$9,00_PARAMETROS!$B$8*MAX(0,00_PARAMETROS!$B$4-B28)),0)</f>
        <v>0</v>
      </c>
      <c r="U28" s="11" t="n">
        <f aca="false">ROUND(P28*(1+S28+T28),2)</f>
        <v>0</v>
      </c>
      <c r="V28" s="11" t="n">
        <f aca="false">ROUND(Q28*(1+S28+T28),2)</f>
        <v>0</v>
      </c>
      <c r="W28" s="11" t="n">
        <f aca="false">ROUND(R28*(1+S28+T28),2)</f>
        <v>0</v>
      </c>
      <c r="X28" s="10"/>
    </row>
    <row r="29" customFormat="false" ht="32.8" hidden="false" customHeight="false" outlineLevel="0" collapsed="false">
      <c r="A29" s="10" t="n">
        <v>25</v>
      </c>
      <c r="B29" s="19" t="n">
        <v>45665</v>
      </c>
      <c r="C29" s="21" t="n">
        <f aca="false">YEAR(B29)</f>
        <v>2025</v>
      </c>
      <c r="D29" s="10" t="s">
        <v>200</v>
      </c>
      <c r="E29" s="10" t="s">
        <v>135</v>
      </c>
      <c r="F29" s="11" t="n">
        <v>1000</v>
      </c>
      <c r="G29" s="10" t="s">
        <v>175</v>
      </c>
      <c r="H29" s="10" t="s">
        <v>187</v>
      </c>
      <c r="I29" s="10" t="s">
        <v>218</v>
      </c>
      <c r="J29" s="25" t="s">
        <v>190</v>
      </c>
      <c r="K29" s="22" t="s">
        <v>191</v>
      </c>
      <c r="L29" s="10" t="str">
        <f aca="false">IF(AND(G29="entrada",F29&gt;=00_PARAMETROS!$B$7),"SIM","NÃO")</f>
        <v>NÃO</v>
      </c>
      <c r="M29" s="23"/>
      <c r="N29" s="24" t="n">
        <f aca="false">IFERROR(INDEX(00_PARAMETROS!$B$41:$B$54,MATCH(K29,00_PARAMETROS!$A$41:$A$54,0)),0)</f>
        <v>0</v>
      </c>
      <c r="O29" s="11" t="n">
        <f aca="false">IF(OR(G29&lt;&gt;"entrada",N29=0),0,IF(K29="VENDA_BEM_BR_GCAP",N(M29),F29))</f>
        <v>0</v>
      </c>
      <c r="P29" s="11" t="n">
        <f aca="false">ROUND(O29*N29,2)</f>
        <v>0</v>
      </c>
      <c r="Q29" s="11" t="n">
        <f aca="false">IF(AND(G29="entrada",K29="PENDENTE"),ROUND(F29*00_PARAMETROS!$B$12,2),0)</f>
        <v>150</v>
      </c>
      <c r="R29" s="11" t="n">
        <f aca="false">IF(AND(G29="entrada",K29="PENDENTE"),ROUND(F29*00_PARAMETROS!$B$13,2),0)</f>
        <v>250</v>
      </c>
      <c r="S29" s="24" t="n">
        <f aca="false">IF(P29+Q29&gt;0,SUMIFS(SELIC!$B$4:$B$96,SELIC!$A$4:$A$96,"&gt;="&amp;DATE(YEAR(B29),MONTH(B29)+1,1),SELIC!$A$4:$A$96,"&lt;="&amp;DATE(YEAR(00_PARAMETROS!$B$4),MONTH(00_PARAMETROS!$B$4)-1,1))+00_PARAMETROS!$B$11,0)</f>
        <v>0.2242</v>
      </c>
      <c r="T29" s="24" t="n">
        <f aca="false">IF(P29+Q29&gt;0,MIN(00_PARAMETROS!$B$9,00_PARAMETROS!$B$8*MAX(0,00_PARAMETROS!$B$4-B29)),0)</f>
        <v>0.2</v>
      </c>
      <c r="U29" s="11" t="n">
        <f aca="false">ROUND(P29*(1+S29+T29),2)</f>
        <v>0</v>
      </c>
      <c r="V29" s="11" t="n">
        <f aca="false">ROUND(Q29*(1+S29+T29),2)</f>
        <v>213.63</v>
      </c>
      <c r="W29" s="11" t="n">
        <f aca="false">ROUND(R29*(1+S29+T29),2)</f>
        <v>356.05</v>
      </c>
      <c r="X29" s="10"/>
    </row>
    <row r="30" customFormat="false" ht="32.8" hidden="false" customHeight="false" outlineLevel="0" collapsed="false">
      <c r="A30" s="10" t="n">
        <v>26</v>
      </c>
      <c r="B30" s="19" t="n">
        <v>45666</v>
      </c>
      <c r="C30" s="21" t="n">
        <f aca="false">YEAR(B30)</f>
        <v>2025</v>
      </c>
      <c r="D30" s="10" t="s">
        <v>219</v>
      </c>
      <c r="E30" s="10" t="s">
        <v>210</v>
      </c>
      <c r="F30" s="11" t="n">
        <v>-100</v>
      </c>
      <c r="G30" s="10" t="s">
        <v>181</v>
      </c>
      <c r="H30" s="10" t="s">
        <v>187</v>
      </c>
      <c r="I30" s="10" t="s">
        <v>218</v>
      </c>
      <c r="J30" s="10" t="s">
        <v>188</v>
      </c>
      <c r="K30" s="22" t="s">
        <v>184</v>
      </c>
      <c r="L30" s="10" t="str">
        <f aca="false">IF(AND(G30="entrada",F30&gt;=00_PARAMETROS!$B$7),"SIM","NÃO")</f>
        <v>NÃO</v>
      </c>
      <c r="M30" s="23"/>
      <c r="N30" s="24" t="n">
        <f aca="false">IFERROR(INDEX(00_PARAMETROS!$B$41:$B$54,MATCH(K30,00_PARAMETROS!$A$41:$A$54,0)),0)</f>
        <v>0</v>
      </c>
      <c r="O30" s="11" t="n">
        <f aca="false">IF(OR(G30&lt;&gt;"entrada",N30=0),0,IF(K30="VENDA_BEM_BR_GCAP",N(M30),F30))</f>
        <v>0</v>
      </c>
      <c r="P30" s="11" t="n">
        <f aca="false">ROUND(O30*N30,2)</f>
        <v>0</v>
      </c>
      <c r="Q30" s="11" t="n">
        <f aca="false">IF(AND(G30="entrada",K30="PENDENTE"),ROUND(F30*00_PARAMETROS!$B$12,2),0)</f>
        <v>0</v>
      </c>
      <c r="R30" s="11" t="n">
        <f aca="false">IF(AND(G30="entrada",K30="PENDENTE"),ROUND(F30*00_PARAMETROS!$B$13,2),0)</f>
        <v>0</v>
      </c>
      <c r="S30" s="24" t="n">
        <f aca="false">IF(P30+Q30&gt;0,SUMIFS(SELIC!$B$4:$B$96,SELIC!$A$4:$A$96,"&gt;="&amp;DATE(YEAR(B30),MONTH(B30)+1,1),SELIC!$A$4:$A$96,"&lt;="&amp;DATE(YEAR(00_PARAMETROS!$B$4),MONTH(00_PARAMETROS!$B$4)-1,1))+00_PARAMETROS!$B$11,0)</f>
        <v>0</v>
      </c>
      <c r="T30" s="24" t="n">
        <f aca="false">IF(P30+Q30&gt;0,MIN(00_PARAMETROS!$B$9,00_PARAMETROS!$B$8*MAX(0,00_PARAMETROS!$B$4-B30)),0)</f>
        <v>0</v>
      </c>
      <c r="U30" s="11" t="n">
        <f aca="false">ROUND(P30*(1+S30+T30),2)</f>
        <v>0</v>
      </c>
      <c r="V30" s="11" t="n">
        <f aca="false">ROUND(Q30*(1+S30+T30),2)</f>
        <v>0</v>
      </c>
      <c r="W30" s="11" t="n">
        <f aca="false">ROUND(R30*(1+S30+T30),2)</f>
        <v>0</v>
      </c>
      <c r="X30" s="10"/>
    </row>
    <row r="31" customFormat="false" ht="43.25" hidden="false" customHeight="false" outlineLevel="0" collapsed="false">
      <c r="A31" s="10" t="n">
        <v>27</v>
      </c>
      <c r="B31" s="19" t="n">
        <v>45669</v>
      </c>
      <c r="C31" s="21" t="n">
        <f aca="false">YEAR(B31)</f>
        <v>2025</v>
      </c>
      <c r="D31" s="10" t="s">
        <v>220</v>
      </c>
      <c r="E31" s="10" t="s">
        <v>186</v>
      </c>
      <c r="F31" s="11" t="n">
        <v>-360</v>
      </c>
      <c r="G31" s="10" t="s">
        <v>181</v>
      </c>
      <c r="H31" s="10" t="s">
        <v>187</v>
      </c>
      <c r="I31" s="10" t="s">
        <v>218</v>
      </c>
      <c r="J31" s="10" t="s">
        <v>188</v>
      </c>
      <c r="K31" s="22" t="s">
        <v>184</v>
      </c>
      <c r="L31" s="10" t="str">
        <f aca="false">IF(AND(G31="entrada",F31&gt;=00_PARAMETROS!$B$7),"SIM","NÃO")</f>
        <v>NÃO</v>
      </c>
      <c r="M31" s="23"/>
      <c r="N31" s="24" t="n">
        <f aca="false">IFERROR(INDEX(00_PARAMETROS!$B$41:$B$54,MATCH(K31,00_PARAMETROS!$A$41:$A$54,0)),0)</f>
        <v>0</v>
      </c>
      <c r="O31" s="11" t="n">
        <f aca="false">IF(OR(G31&lt;&gt;"entrada",N31=0),0,IF(K31="VENDA_BEM_BR_GCAP",N(M31),F31))</f>
        <v>0</v>
      </c>
      <c r="P31" s="11" t="n">
        <f aca="false">ROUND(O31*N31,2)</f>
        <v>0</v>
      </c>
      <c r="Q31" s="11" t="n">
        <f aca="false">IF(AND(G31="entrada",K31="PENDENTE"),ROUND(F31*00_PARAMETROS!$B$12,2),0)</f>
        <v>0</v>
      </c>
      <c r="R31" s="11" t="n">
        <f aca="false">IF(AND(G31="entrada",K31="PENDENTE"),ROUND(F31*00_PARAMETROS!$B$13,2),0)</f>
        <v>0</v>
      </c>
      <c r="S31" s="24" t="n">
        <f aca="false">IF(P31+Q31&gt;0,SUMIFS(SELIC!$B$4:$B$96,SELIC!$A$4:$A$96,"&gt;="&amp;DATE(YEAR(B31),MONTH(B31)+1,1),SELIC!$A$4:$A$96,"&lt;="&amp;DATE(YEAR(00_PARAMETROS!$B$4),MONTH(00_PARAMETROS!$B$4)-1,1))+00_PARAMETROS!$B$11,0)</f>
        <v>0</v>
      </c>
      <c r="T31" s="24" t="n">
        <f aca="false">IF(P31+Q31&gt;0,MIN(00_PARAMETROS!$B$9,00_PARAMETROS!$B$8*MAX(0,00_PARAMETROS!$B$4-B31)),0)</f>
        <v>0</v>
      </c>
      <c r="U31" s="11" t="n">
        <f aca="false">ROUND(P31*(1+S31+T31),2)</f>
        <v>0</v>
      </c>
      <c r="V31" s="11" t="n">
        <f aca="false">ROUND(Q31*(1+S31+T31),2)</f>
        <v>0</v>
      </c>
      <c r="W31" s="11" t="n">
        <f aca="false">ROUND(R31*(1+S31+T31),2)</f>
        <v>0</v>
      </c>
      <c r="X31" s="10"/>
    </row>
    <row r="32" customFormat="false" ht="32.8" hidden="false" customHeight="false" outlineLevel="0" collapsed="false">
      <c r="A32" s="10" t="n">
        <v>28</v>
      </c>
      <c r="B32" s="19" t="n">
        <v>45673</v>
      </c>
      <c r="C32" s="21" t="n">
        <f aca="false">YEAR(B32)</f>
        <v>2025</v>
      </c>
      <c r="D32" s="10" t="s">
        <v>221</v>
      </c>
      <c r="E32" s="10" t="s">
        <v>146</v>
      </c>
      <c r="F32" s="11" t="n">
        <v>300</v>
      </c>
      <c r="G32" s="10" t="s">
        <v>175</v>
      </c>
      <c r="H32" s="10" t="s">
        <v>187</v>
      </c>
      <c r="I32" s="10" t="s">
        <v>218</v>
      </c>
      <c r="J32" s="25" t="s">
        <v>190</v>
      </c>
      <c r="K32" s="22" t="s">
        <v>191</v>
      </c>
      <c r="L32" s="10" t="str">
        <f aca="false">IF(AND(G32="entrada",F32&gt;=00_PARAMETROS!$B$7),"SIM","NÃO")</f>
        <v>NÃO</v>
      </c>
      <c r="M32" s="23"/>
      <c r="N32" s="24" t="n">
        <f aca="false">IFERROR(INDEX(00_PARAMETROS!$B$41:$B$54,MATCH(K32,00_PARAMETROS!$A$41:$A$54,0)),0)</f>
        <v>0</v>
      </c>
      <c r="O32" s="11" t="n">
        <f aca="false">IF(OR(G32&lt;&gt;"entrada",N32=0),0,IF(K32="VENDA_BEM_BR_GCAP",N(M32),F32))</f>
        <v>0</v>
      </c>
      <c r="P32" s="11" t="n">
        <f aca="false">ROUND(O32*N32,2)</f>
        <v>0</v>
      </c>
      <c r="Q32" s="11" t="n">
        <f aca="false">IF(AND(G32="entrada",K32="PENDENTE"),ROUND(F32*00_PARAMETROS!$B$12,2),0)</f>
        <v>45</v>
      </c>
      <c r="R32" s="11" t="n">
        <f aca="false">IF(AND(G32="entrada",K32="PENDENTE"),ROUND(F32*00_PARAMETROS!$B$13,2),0)</f>
        <v>75</v>
      </c>
      <c r="S32" s="24" t="n">
        <f aca="false">IF(P32+Q32&gt;0,SUMIFS(SELIC!$B$4:$B$96,SELIC!$A$4:$A$96,"&gt;="&amp;DATE(YEAR(B32),MONTH(B32)+1,1),SELIC!$A$4:$A$96,"&lt;="&amp;DATE(YEAR(00_PARAMETROS!$B$4),MONTH(00_PARAMETROS!$B$4)-1,1))+00_PARAMETROS!$B$11,0)</f>
        <v>0.2242</v>
      </c>
      <c r="T32" s="24" t="n">
        <f aca="false">IF(P32+Q32&gt;0,MIN(00_PARAMETROS!$B$9,00_PARAMETROS!$B$8*MAX(0,00_PARAMETROS!$B$4-B32)),0)</f>
        <v>0.2</v>
      </c>
      <c r="U32" s="11" t="n">
        <f aca="false">ROUND(P32*(1+S32+T32),2)</f>
        <v>0</v>
      </c>
      <c r="V32" s="11" t="n">
        <f aca="false">ROUND(Q32*(1+S32+T32),2)</f>
        <v>64.09</v>
      </c>
      <c r="W32" s="11" t="n">
        <f aca="false">ROUND(R32*(1+S32+T32),2)</f>
        <v>106.82</v>
      </c>
      <c r="X32" s="10"/>
    </row>
    <row r="33" customFormat="false" ht="43.25" hidden="false" customHeight="false" outlineLevel="0" collapsed="false">
      <c r="A33" s="10" t="n">
        <v>29</v>
      </c>
      <c r="B33" s="19" t="n">
        <v>45673</v>
      </c>
      <c r="C33" s="21" t="n">
        <f aca="false">YEAR(B33)</f>
        <v>2025</v>
      </c>
      <c r="D33" s="10" t="s">
        <v>222</v>
      </c>
      <c r="E33" s="10" t="s">
        <v>223</v>
      </c>
      <c r="F33" s="11" t="n">
        <v>-1970</v>
      </c>
      <c r="G33" s="10" t="s">
        <v>181</v>
      </c>
      <c r="H33" s="10" t="s">
        <v>187</v>
      </c>
      <c r="I33" s="10" t="s">
        <v>218</v>
      </c>
      <c r="J33" s="10" t="s">
        <v>188</v>
      </c>
      <c r="K33" s="22" t="s">
        <v>184</v>
      </c>
      <c r="L33" s="10" t="str">
        <f aca="false">IF(AND(G33="entrada",F33&gt;=00_PARAMETROS!$B$7),"SIM","NÃO")</f>
        <v>NÃO</v>
      </c>
      <c r="M33" s="23"/>
      <c r="N33" s="24" t="n">
        <f aca="false">IFERROR(INDEX(00_PARAMETROS!$B$41:$B$54,MATCH(K33,00_PARAMETROS!$A$41:$A$54,0)),0)</f>
        <v>0</v>
      </c>
      <c r="O33" s="11" t="n">
        <f aca="false">IF(OR(G33&lt;&gt;"entrada",N33=0),0,IF(K33="VENDA_BEM_BR_GCAP",N(M33),F33))</f>
        <v>0</v>
      </c>
      <c r="P33" s="11" t="n">
        <f aca="false">ROUND(O33*N33,2)</f>
        <v>0</v>
      </c>
      <c r="Q33" s="11" t="n">
        <f aca="false">IF(AND(G33="entrada",K33="PENDENTE"),ROUND(F33*00_PARAMETROS!$B$12,2),0)</f>
        <v>0</v>
      </c>
      <c r="R33" s="11" t="n">
        <f aca="false">IF(AND(G33="entrada",K33="PENDENTE"),ROUND(F33*00_PARAMETROS!$B$13,2),0)</f>
        <v>0</v>
      </c>
      <c r="S33" s="24" t="n">
        <f aca="false">IF(P33+Q33&gt;0,SUMIFS(SELIC!$B$4:$B$96,SELIC!$A$4:$A$96,"&gt;="&amp;DATE(YEAR(B33),MONTH(B33)+1,1),SELIC!$A$4:$A$96,"&lt;="&amp;DATE(YEAR(00_PARAMETROS!$B$4),MONTH(00_PARAMETROS!$B$4)-1,1))+00_PARAMETROS!$B$11,0)</f>
        <v>0</v>
      </c>
      <c r="T33" s="24" t="n">
        <f aca="false">IF(P33+Q33&gt;0,MIN(00_PARAMETROS!$B$9,00_PARAMETROS!$B$8*MAX(0,00_PARAMETROS!$B$4-B33)),0)</f>
        <v>0</v>
      </c>
      <c r="U33" s="11" t="n">
        <f aca="false">ROUND(P33*(1+S33+T33),2)</f>
        <v>0</v>
      </c>
      <c r="V33" s="11" t="n">
        <f aca="false">ROUND(Q33*(1+S33+T33),2)</f>
        <v>0</v>
      </c>
      <c r="W33" s="11" t="n">
        <f aca="false">ROUND(R33*(1+S33+T33),2)</f>
        <v>0</v>
      </c>
      <c r="X33" s="10"/>
    </row>
    <row r="34" customFormat="false" ht="32.8" hidden="false" customHeight="false" outlineLevel="0" collapsed="false">
      <c r="A34" s="10" t="n">
        <v>30</v>
      </c>
      <c r="B34" s="19" t="n">
        <v>45677</v>
      </c>
      <c r="C34" s="21" t="n">
        <f aca="false">YEAR(B34)</f>
        <v>2025</v>
      </c>
      <c r="D34" s="10" t="s">
        <v>189</v>
      </c>
      <c r="E34" s="10" t="s">
        <v>134</v>
      </c>
      <c r="F34" s="11" t="n">
        <v>500</v>
      </c>
      <c r="G34" s="10" t="s">
        <v>175</v>
      </c>
      <c r="H34" s="10" t="s">
        <v>187</v>
      </c>
      <c r="I34" s="10" t="s">
        <v>218</v>
      </c>
      <c r="J34" s="25" t="s">
        <v>190</v>
      </c>
      <c r="K34" s="22" t="s">
        <v>191</v>
      </c>
      <c r="L34" s="10" t="str">
        <f aca="false">IF(AND(G34="entrada",F34&gt;=00_PARAMETROS!$B$7),"SIM","NÃO")</f>
        <v>NÃO</v>
      </c>
      <c r="M34" s="23"/>
      <c r="N34" s="24" t="n">
        <f aca="false">IFERROR(INDEX(00_PARAMETROS!$B$41:$B$54,MATCH(K34,00_PARAMETROS!$A$41:$A$54,0)),0)</f>
        <v>0</v>
      </c>
      <c r="O34" s="11" t="n">
        <f aca="false">IF(OR(G34&lt;&gt;"entrada",N34=0),0,IF(K34="VENDA_BEM_BR_GCAP",N(M34),F34))</f>
        <v>0</v>
      </c>
      <c r="P34" s="11" t="n">
        <f aca="false">ROUND(O34*N34,2)</f>
        <v>0</v>
      </c>
      <c r="Q34" s="11" t="n">
        <f aca="false">IF(AND(G34="entrada",K34="PENDENTE"),ROUND(F34*00_PARAMETROS!$B$12,2),0)</f>
        <v>75</v>
      </c>
      <c r="R34" s="11" t="n">
        <f aca="false">IF(AND(G34="entrada",K34="PENDENTE"),ROUND(F34*00_PARAMETROS!$B$13,2),0)</f>
        <v>125</v>
      </c>
      <c r="S34" s="24" t="n">
        <f aca="false">IF(P34+Q34&gt;0,SUMIFS(SELIC!$B$4:$B$96,SELIC!$A$4:$A$96,"&gt;="&amp;DATE(YEAR(B34),MONTH(B34)+1,1),SELIC!$A$4:$A$96,"&lt;="&amp;DATE(YEAR(00_PARAMETROS!$B$4),MONTH(00_PARAMETROS!$B$4)-1,1))+00_PARAMETROS!$B$11,0)</f>
        <v>0.2242</v>
      </c>
      <c r="T34" s="24" t="n">
        <f aca="false">IF(P34+Q34&gt;0,MIN(00_PARAMETROS!$B$9,00_PARAMETROS!$B$8*MAX(0,00_PARAMETROS!$B$4-B34)),0)</f>
        <v>0.2</v>
      </c>
      <c r="U34" s="11" t="n">
        <f aca="false">ROUND(P34*(1+S34+T34),2)</f>
        <v>0</v>
      </c>
      <c r="V34" s="11" t="n">
        <f aca="false">ROUND(Q34*(1+S34+T34),2)</f>
        <v>106.82</v>
      </c>
      <c r="W34" s="11" t="n">
        <f aca="false">ROUND(R34*(1+S34+T34),2)</f>
        <v>178.03</v>
      </c>
      <c r="X34" s="10"/>
    </row>
    <row r="35" customFormat="false" ht="32.8" hidden="false" customHeight="false" outlineLevel="0" collapsed="false">
      <c r="A35" s="10" t="n">
        <v>31</v>
      </c>
      <c r="B35" s="19" t="n">
        <v>45683</v>
      </c>
      <c r="C35" s="21" t="n">
        <f aca="false">YEAR(B35)</f>
        <v>2025</v>
      </c>
      <c r="D35" s="10" t="s">
        <v>224</v>
      </c>
      <c r="E35" s="10" t="s">
        <v>142</v>
      </c>
      <c r="F35" s="11" t="n">
        <v>5870</v>
      </c>
      <c r="G35" s="10" t="s">
        <v>175</v>
      </c>
      <c r="H35" s="10" t="s">
        <v>187</v>
      </c>
      <c r="I35" s="10" t="s">
        <v>218</v>
      </c>
      <c r="J35" s="25" t="s">
        <v>190</v>
      </c>
      <c r="K35" s="22" t="s">
        <v>191</v>
      </c>
      <c r="L35" s="10" t="str">
        <f aca="false">IF(AND(G35="entrada",F35&gt;=00_PARAMETROS!$B$7),"SIM","NÃO")</f>
        <v>NÃO</v>
      </c>
      <c r="M35" s="23"/>
      <c r="N35" s="24" t="n">
        <f aca="false">IFERROR(INDEX(00_PARAMETROS!$B$41:$B$54,MATCH(K35,00_PARAMETROS!$A$41:$A$54,0)),0)</f>
        <v>0</v>
      </c>
      <c r="O35" s="11" t="n">
        <f aca="false">IF(OR(G35&lt;&gt;"entrada",N35=0),0,IF(K35="VENDA_BEM_BR_GCAP",N(M35),F35))</f>
        <v>0</v>
      </c>
      <c r="P35" s="11" t="n">
        <f aca="false">ROUND(O35*N35,2)</f>
        <v>0</v>
      </c>
      <c r="Q35" s="11" t="n">
        <f aca="false">IF(AND(G35="entrada",K35="PENDENTE"),ROUND(F35*00_PARAMETROS!$B$12,2),0)</f>
        <v>880.5</v>
      </c>
      <c r="R35" s="11" t="n">
        <f aca="false">IF(AND(G35="entrada",K35="PENDENTE"),ROUND(F35*00_PARAMETROS!$B$13,2),0)</f>
        <v>1467.5</v>
      </c>
      <c r="S35" s="24" t="n">
        <f aca="false">IF(P35+Q35&gt;0,SUMIFS(SELIC!$B$4:$B$96,SELIC!$A$4:$A$96,"&gt;="&amp;DATE(YEAR(B35),MONTH(B35)+1,1),SELIC!$A$4:$A$96,"&lt;="&amp;DATE(YEAR(00_PARAMETROS!$B$4),MONTH(00_PARAMETROS!$B$4)-1,1))+00_PARAMETROS!$B$11,0)</f>
        <v>0.2242</v>
      </c>
      <c r="T35" s="24" t="n">
        <f aca="false">IF(P35+Q35&gt;0,MIN(00_PARAMETROS!$B$9,00_PARAMETROS!$B$8*MAX(0,00_PARAMETROS!$B$4-B35)),0)</f>
        <v>0.2</v>
      </c>
      <c r="U35" s="11" t="n">
        <f aca="false">ROUND(P35*(1+S35+T35),2)</f>
        <v>0</v>
      </c>
      <c r="V35" s="11" t="n">
        <f aca="false">ROUND(Q35*(1+S35+T35),2)</f>
        <v>1254.01</v>
      </c>
      <c r="W35" s="11" t="n">
        <f aca="false">ROUND(R35*(1+S35+T35),2)</f>
        <v>2090.01</v>
      </c>
      <c r="X35" s="10"/>
    </row>
    <row r="36" customFormat="false" ht="15" hidden="false" customHeight="false" outlineLevel="0" collapsed="false">
      <c r="A36" s="10" t="n">
        <v>32</v>
      </c>
      <c r="B36" s="19" t="n">
        <v>45683</v>
      </c>
      <c r="C36" s="21" t="n">
        <f aca="false">YEAR(B36)</f>
        <v>2025</v>
      </c>
      <c r="D36" s="10" t="s">
        <v>180</v>
      </c>
      <c r="E36" s="10" t="s">
        <v>180</v>
      </c>
      <c r="F36" s="11" t="n">
        <v>-38000</v>
      </c>
      <c r="G36" s="10" t="s">
        <v>181</v>
      </c>
      <c r="H36" s="10" t="s">
        <v>182</v>
      </c>
      <c r="I36" s="10" t="s">
        <v>218</v>
      </c>
      <c r="J36" s="10" t="s">
        <v>183</v>
      </c>
      <c r="K36" s="22" t="s">
        <v>184</v>
      </c>
      <c r="L36" s="10" t="str">
        <f aca="false">IF(AND(G36="entrada",F36&gt;=00_PARAMETROS!$B$7),"SIM","NÃO")</f>
        <v>NÃO</v>
      </c>
      <c r="M36" s="23"/>
      <c r="N36" s="24" t="n">
        <f aca="false">IFERROR(INDEX(00_PARAMETROS!$B$41:$B$54,MATCH(K36,00_PARAMETROS!$A$41:$A$54,0)),0)</f>
        <v>0</v>
      </c>
      <c r="O36" s="11" t="n">
        <f aca="false">IF(OR(G36&lt;&gt;"entrada",N36=0),0,IF(K36="VENDA_BEM_BR_GCAP",N(M36),F36))</f>
        <v>0</v>
      </c>
      <c r="P36" s="11" t="n">
        <f aca="false">ROUND(O36*N36,2)</f>
        <v>0</v>
      </c>
      <c r="Q36" s="11" t="n">
        <f aca="false">IF(AND(G36="entrada",K36="PENDENTE"),ROUND(F36*00_PARAMETROS!$B$12,2),0)</f>
        <v>0</v>
      </c>
      <c r="R36" s="11" t="n">
        <f aca="false">IF(AND(G36="entrada",K36="PENDENTE"),ROUND(F36*00_PARAMETROS!$B$13,2),0)</f>
        <v>0</v>
      </c>
      <c r="S36" s="24" t="n">
        <f aca="false">IF(P36+Q36&gt;0,SUMIFS(SELIC!$B$4:$B$96,SELIC!$A$4:$A$96,"&gt;="&amp;DATE(YEAR(B36),MONTH(B36)+1,1),SELIC!$A$4:$A$96,"&lt;="&amp;DATE(YEAR(00_PARAMETROS!$B$4),MONTH(00_PARAMETROS!$B$4)-1,1))+00_PARAMETROS!$B$11,0)</f>
        <v>0</v>
      </c>
      <c r="T36" s="24" t="n">
        <f aca="false">IF(P36+Q36&gt;0,MIN(00_PARAMETROS!$B$9,00_PARAMETROS!$B$8*MAX(0,00_PARAMETROS!$B$4-B36)),0)</f>
        <v>0</v>
      </c>
      <c r="U36" s="11" t="n">
        <f aca="false">ROUND(P36*(1+S36+T36),2)</f>
        <v>0</v>
      </c>
      <c r="V36" s="11" t="n">
        <f aca="false">ROUND(Q36*(1+S36+T36),2)</f>
        <v>0</v>
      </c>
      <c r="W36" s="11" t="n">
        <f aca="false">ROUND(R36*(1+S36+T36),2)</f>
        <v>0</v>
      </c>
      <c r="X36" s="10"/>
    </row>
    <row r="37" customFormat="false" ht="32.8" hidden="false" customHeight="false" outlineLevel="0" collapsed="false">
      <c r="A37" s="10" t="n">
        <v>33</v>
      </c>
      <c r="B37" s="19" t="n">
        <v>45686</v>
      </c>
      <c r="C37" s="21" t="n">
        <f aca="false">YEAR(B37)</f>
        <v>2025</v>
      </c>
      <c r="D37" s="10" t="s">
        <v>225</v>
      </c>
      <c r="E37" s="10" t="s">
        <v>226</v>
      </c>
      <c r="F37" s="11" t="n">
        <v>-5</v>
      </c>
      <c r="G37" s="10" t="s">
        <v>181</v>
      </c>
      <c r="H37" s="10" t="s">
        <v>227</v>
      </c>
      <c r="I37" s="10" t="s">
        <v>218</v>
      </c>
      <c r="J37" s="10" t="s">
        <v>188</v>
      </c>
      <c r="K37" s="22" t="s">
        <v>184</v>
      </c>
      <c r="L37" s="10" t="str">
        <f aca="false">IF(AND(G37="entrada",F37&gt;=00_PARAMETROS!$B$7),"SIM","NÃO")</f>
        <v>NÃO</v>
      </c>
      <c r="M37" s="23"/>
      <c r="N37" s="24" t="n">
        <f aca="false">IFERROR(INDEX(00_PARAMETROS!$B$41:$B$54,MATCH(K37,00_PARAMETROS!$A$41:$A$54,0)),0)</f>
        <v>0</v>
      </c>
      <c r="O37" s="11" t="n">
        <f aca="false">IF(OR(G37&lt;&gt;"entrada",N37=0),0,IF(K37="VENDA_BEM_BR_GCAP",N(M37),F37))</f>
        <v>0</v>
      </c>
      <c r="P37" s="11" t="n">
        <f aca="false">ROUND(O37*N37,2)</f>
        <v>0</v>
      </c>
      <c r="Q37" s="11" t="n">
        <f aca="false">IF(AND(G37="entrada",K37="PENDENTE"),ROUND(F37*00_PARAMETROS!$B$12,2),0)</f>
        <v>0</v>
      </c>
      <c r="R37" s="11" t="n">
        <f aca="false">IF(AND(G37="entrada",K37="PENDENTE"),ROUND(F37*00_PARAMETROS!$B$13,2),0)</f>
        <v>0</v>
      </c>
      <c r="S37" s="24" t="n">
        <f aca="false">IF(P37+Q37&gt;0,SUMIFS(SELIC!$B$4:$B$96,SELIC!$A$4:$A$96,"&gt;="&amp;DATE(YEAR(B37),MONTH(B37)+1,1),SELIC!$A$4:$A$96,"&lt;="&amp;DATE(YEAR(00_PARAMETROS!$B$4),MONTH(00_PARAMETROS!$B$4)-1,1))+00_PARAMETROS!$B$11,0)</f>
        <v>0</v>
      </c>
      <c r="T37" s="24" t="n">
        <f aca="false">IF(P37+Q37&gt;0,MIN(00_PARAMETROS!$B$9,00_PARAMETROS!$B$8*MAX(0,00_PARAMETROS!$B$4-B37)),0)</f>
        <v>0</v>
      </c>
      <c r="U37" s="11" t="n">
        <f aca="false">ROUND(P37*(1+S37+T37),2)</f>
        <v>0</v>
      </c>
      <c r="V37" s="11" t="n">
        <f aca="false">ROUND(Q37*(1+S37+T37),2)</f>
        <v>0</v>
      </c>
      <c r="W37" s="11" t="n">
        <f aca="false">ROUND(R37*(1+S37+T37),2)</f>
        <v>0</v>
      </c>
      <c r="X37" s="10"/>
    </row>
    <row r="38" customFormat="false" ht="32.8" hidden="false" customHeight="false" outlineLevel="0" collapsed="false">
      <c r="A38" s="10" t="n">
        <v>34</v>
      </c>
      <c r="B38" s="19" t="n">
        <v>45686</v>
      </c>
      <c r="C38" s="21" t="n">
        <f aca="false">YEAR(B38)</f>
        <v>2025</v>
      </c>
      <c r="D38" s="10" t="s">
        <v>228</v>
      </c>
      <c r="E38" s="10" t="s">
        <v>226</v>
      </c>
      <c r="F38" s="11" t="n">
        <v>-2</v>
      </c>
      <c r="G38" s="10" t="s">
        <v>181</v>
      </c>
      <c r="H38" s="10" t="s">
        <v>227</v>
      </c>
      <c r="I38" s="10" t="s">
        <v>218</v>
      </c>
      <c r="J38" s="10" t="s">
        <v>188</v>
      </c>
      <c r="K38" s="22" t="s">
        <v>184</v>
      </c>
      <c r="L38" s="10" t="str">
        <f aca="false">IF(AND(G38="entrada",F38&gt;=00_PARAMETROS!$B$7),"SIM","NÃO")</f>
        <v>NÃO</v>
      </c>
      <c r="M38" s="23"/>
      <c r="N38" s="24" t="n">
        <f aca="false">IFERROR(INDEX(00_PARAMETROS!$B$41:$B$54,MATCH(K38,00_PARAMETROS!$A$41:$A$54,0)),0)</f>
        <v>0</v>
      </c>
      <c r="O38" s="11" t="n">
        <f aca="false">IF(OR(G38&lt;&gt;"entrada",N38=0),0,IF(K38="VENDA_BEM_BR_GCAP",N(M38),F38))</f>
        <v>0</v>
      </c>
      <c r="P38" s="11" t="n">
        <f aca="false">ROUND(O38*N38,2)</f>
        <v>0</v>
      </c>
      <c r="Q38" s="11" t="n">
        <f aca="false">IF(AND(G38="entrada",K38="PENDENTE"),ROUND(F38*00_PARAMETROS!$B$12,2),0)</f>
        <v>0</v>
      </c>
      <c r="R38" s="11" t="n">
        <f aca="false">IF(AND(G38="entrada",K38="PENDENTE"),ROUND(F38*00_PARAMETROS!$B$13,2),0)</f>
        <v>0</v>
      </c>
      <c r="S38" s="24" t="n">
        <f aca="false">IF(P38+Q38&gt;0,SUMIFS(SELIC!$B$4:$B$96,SELIC!$A$4:$A$96,"&gt;="&amp;DATE(YEAR(B38),MONTH(B38)+1,1),SELIC!$A$4:$A$96,"&lt;="&amp;DATE(YEAR(00_PARAMETROS!$B$4),MONTH(00_PARAMETROS!$B$4)-1,1))+00_PARAMETROS!$B$11,0)</f>
        <v>0</v>
      </c>
      <c r="T38" s="24" t="n">
        <f aca="false">IF(P38+Q38&gt;0,MIN(00_PARAMETROS!$B$9,00_PARAMETROS!$B$8*MAX(0,00_PARAMETROS!$B$4-B38)),0)</f>
        <v>0</v>
      </c>
      <c r="U38" s="11" t="n">
        <f aca="false">ROUND(P38*(1+S38+T38),2)</f>
        <v>0</v>
      </c>
      <c r="V38" s="11" t="n">
        <f aca="false">ROUND(Q38*(1+S38+T38),2)</f>
        <v>0</v>
      </c>
      <c r="W38" s="11" t="n">
        <f aca="false">ROUND(R38*(1+S38+T38),2)</f>
        <v>0</v>
      </c>
      <c r="X38" s="10"/>
    </row>
    <row r="39" customFormat="false" ht="32.8" hidden="false" customHeight="false" outlineLevel="0" collapsed="false">
      <c r="A39" s="10" t="n">
        <v>35</v>
      </c>
      <c r="B39" s="19" t="n">
        <v>45692</v>
      </c>
      <c r="C39" s="21" t="n">
        <f aca="false">YEAR(B39)</f>
        <v>2025</v>
      </c>
      <c r="D39" s="10" t="s">
        <v>229</v>
      </c>
      <c r="E39" s="10" t="s">
        <v>136</v>
      </c>
      <c r="F39" s="11" t="n">
        <v>190000</v>
      </c>
      <c r="G39" s="10" t="s">
        <v>175</v>
      </c>
      <c r="H39" s="10" t="s">
        <v>187</v>
      </c>
      <c r="I39" s="10" t="s">
        <v>230</v>
      </c>
      <c r="J39" s="25" t="s">
        <v>190</v>
      </c>
      <c r="K39" s="22" t="s">
        <v>191</v>
      </c>
      <c r="L39" s="10" t="str">
        <f aca="false">IF(AND(G39="entrada",F39&gt;=00_PARAMETROS!$B$7),"SIM","NÃO")</f>
        <v>SIM</v>
      </c>
      <c r="M39" s="23"/>
      <c r="N39" s="24" t="n">
        <f aca="false">IFERROR(INDEX(00_PARAMETROS!$B$41:$B$54,MATCH(K39,00_PARAMETROS!$A$41:$A$54,0)),0)</f>
        <v>0</v>
      </c>
      <c r="O39" s="11" t="n">
        <f aca="false">IF(OR(G39&lt;&gt;"entrada",N39=0),0,IF(K39="VENDA_BEM_BR_GCAP",N(M39),F39))</f>
        <v>0</v>
      </c>
      <c r="P39" s="11" t="n">
        <f aca="false">ROUND(O39*N39,2)</f>
        <v>0</v>
      </c>
      <c r="Q39" s="11" t="n">
        <f aca="false">IF(AND(G39="entrada",K39="PENDENTE"),ROUND(F39*00_PARAMETROS!$B$12,2),0)</f>
        <v>28500</v>
      </c>
      <c r="R39" s="11" t="n">
        <f aca="false">IF(AND(G39="entrada",K39="PENDENTE"),ROUND(F39*00_PARAMETROS!$B$13,2),0)</f>
        <v>47500</v>
      </c>
      <c r="S39" s="24" t="n">
        <f aca="false">IF(P39+Q39&gt;0,SUMIFS(SELIC!$B$4:$B$96,SELIC!$A$4:$A$96,"&gt;="&amp;DATE(YEAR(B39),MONTH(B39)+1,1),SELIC!$A$4:$A$96,"&lt;="&amp;DATE(YEAR(00_PARAMETROS!$B$4),MONTH(00_PARAMETROS!$B$4)-1,1))+00_PARAMETROS!$B$11,0)</f>
        <v>0.2143</v>
      </c>
      <c r="T39" s="24" t="n">
        <f aca="false">IF(P39+Q39&gt;0,MIN(00_PARAMETROS!$B$9,00_PARAMETROS!$B$8*MAX(0,00_PARAMETROS!$B$4-B39)),0)</f>
        <v>0.2</v>
      </c>
      <c r="U39" s="11" t="n">
        <f aca="false">ROUND(P39*(1+S39+T39),2)</f>
        <v>0</v>
      </c>
      <c r="V39" s="11" t="n">
        <f aca="false">ROUND(Q39*(1+S39+T39),2)</f>
        <v>40307.55</v>
      </c>
      <c r="W39" s="11" t="n">
        <f aca="false">ROUND(R39*(1+S39+T39),2)</f>
        <v>67179.25</v>
      </c>
      <c r="X39" s="10"/>
    </row>
    <row r="40" customFormat="false" ht="15" hidden="false" customHeight="false" outlineLevel="0" collapsed="false">
      <c r="A40" s="10" t="n">
        <v>36</v>
      </c>
      <c r="B40" s="19" t="n">
        <v>45692</v>
      </c>
      <c r="C40" s="21" t="n">
        <f aca="false">YEAR(B40)</f>
        <v>2025</v>
      </c>
      <c r="D40" s="10" t="s">
        <v>180</v>
      </c>
      <c r="E40" s="10" t="s">
        <v>180</v>
      </c>
      <c r="F40" s="11" t="n">
        <v>-170000</v>
      </c>
      <c r="G40" s="10" t="s">
        <v>181</v>
      </c>
      <c r="H40" s="10" t="s">
        <v>182</v>
      </c>
      <c r="I40" s="10" t="s">
        <v>230</v>
      </c>
      <c r="J40" s="10" t="s">
        <v>183</v>
      </c>
      <c r="K40" s="22" t="s">
        <v>184</v>
      </c>
      <c r="L40" s="10" t="str">
        <f aca="false">IF(AND(G40="entrada",F40&gt;=00_PARAMETROS!$B$7),"SIM","NÃO")</f>
        <v>NÃO</v>
      </c>
      <c r="M40" s="23"/>
      <c r="N40" s="24" t="n">
        <f aca="false">IFERROR(INDEX(00_PARAMETROS!$B$41:$B$54,MATCH(K40,00_PARAMETROS!$A$41:$A$54,0)),0)</f>
        <v>0</v>
      </c>
      <c r="O40" s="11" t="n">
        <f aca="false">IF(OR(G40&lt;&gt;"entrada",N40=0),0,IF(K40="VENDA_BEM_BR_GCAP",N(M40),F40))</f>
        <v>0</v>
      </c>
      <c r="P40" s="11" t="n">
        <f aca="false">ROUND(O40*N40,2)</f>
        <v>0</v>
      </c>
      <c r="Q40" s="11" t="n">
        <f aca="false">IF(AND(G40="entrada",K40="PENDENTE"),ROUND(F40*00_PARAMETROS!$B$12,2),0)</f>
        <v>0</v>
      </c>
      <c r="R40" s="11" t="n">
        <f aca="false">IF(AND(G40="entrada",K40="PENDENTE"),ROUND(F40*00_PARAMETROS!$B$13,2),0)</f>
        <v>0</v>
      </c>
      <c r="S40" s="24" t="n">
        <f aca="false">IF(P40+Q40&gt;0,SUMIFS(SELIC!$B$4:$B$96,SELIC!$A$4:$A$96,"&gt;="&amp;DATE(YEAR(B40),MONTH(B40)+1,1),SELIC!$A$4:$A$96,"&lt;="&amp;DATE(YEAR(00_PARAMETROS!$B$4),MONTH(00_PARAMETROS!$B$4)-1,1))+00_PARAMETROS!$B$11,0)</f>
        <v>0</v>
      </c>
      <c r="T40" s="24" t="n">
        <f aca="false">IF(P40+Q40&gt;0,MIN(00_PARAMETROS!$B$9,00_PARAMETROS!$B$8*MAX(0,00_PARAMETROS!$B$4-B40)),0)</f>
        <v>0</v>
      </c>
      <c r="U40" s="11" t="n">
        <f aca="false">ROUND(P40*(1+S40+T40),2)</f>
        <v>0</v>
      </c>
      <c r="V40" s="11" t="n">
        <f aca="false">ROUND(Q40*(1+S40+T40),2)</f>
        <v>0</v>
      </c>
      <c r="W40" s="11" t="n">
        <f aca="false">ROUND(R40*(1+S40+T40),2)</f>
        <v>0</v>
      </c>
      <c r="X40" s="10"/>
    </row>
    <row r="41" customFormat="false" ht="32.8" hidden="false" customHeight="false" outlineLevel="0" collapsed="false">
      <c r="A41" s="10" t="n">
        <v>37</v>
      </c>
      <c r="B41" s="19" t="n">
        <v>45694</v>
      </c>
      <c r="C41" s="21" t="n">
        <f aca="false">YEAR(B41)</f>
        <v>2025</v>
      </c>
      <c r="D41" s="10" t="s">
        <v>231</v>
      </c>
      <c r="E41" s="10" t="s">
        <v>232</v>
      </c>
      <c r="F41" s="11" t="n">
        <v>-4000</v>
      </c>
      <c r="G41" s="10" t="s">
        <v>181</v>
      </c>
      <c r="H41" s="10" t="s">
        <v>187</v>
      </c>
      <c r="I41" s="10" t="s">
        <v>230</v>
      </c>
      <c r="J41" s="10" t="s">
        <v>188</v>
      </c>
      <c r="K41" s="22" t="s">
        <v>184</v>
      </c>
      <c r="L41" s="10" t="str">
        <f aca="false">IF(AND(G41="entrada",F41&gt;=00_PARAMETROS!$B$7),"SIM","NÃO")</f>
        <v>NÃO</v>
      </c>
      <c r="M41" s="23"/>
      <c r="N41" s="24" t="n">
        <f aca="false">IFERROR(INDEX(00_PARAMETROS!$B$41:$B$54,MATCH(K41,00_PARAMETROS!$A$41:$A$54,0)),0)</f>
        <v>0</v>
      </c>
      <c r="O41" s="11" t="n">
        <f aca="false">IF(OR(G41&lt;&gt;"entrada",N41=0),0,IF(K41="VENDA_BEM_BR_GCAP",N(M41),F41))</f>
        <v>0</v>
      </c>
      <c r="P41" s="11" t="n">
        <f aca="false">ROUND(O41*N41,2)</f>
        <v>0</v>
      </c>
      <c r="Q41" s="11" t="n">
        <f aca="false">IF(AND(G41="entrada",K41="PENDENTE"),ROUND(F41*00_PARAMETROS!$B$12,2),0)</f>
        <v>0</v>
      </c>
      <c r="R41" s="11" t="n">
        <f aca="false">IF(AND(G41="entrada",K41="PENDENTE"),ROUND(F41*00_PARAMETROS!$B$13,2),0)</f>
        <v>0</v>
      </c>
      <c r="S41" s="24" t="n">
        <f aca="false">IF(P41+Q41&gt;0,SUMIFS(SELIC!$B$4:$B$96,SELIC!$A$4:$A$96,"&gt;="&amp;DATE(YEAR(B41),MONTH(B41)+1,1),SELIC!$A$4:$A$96,"&lt;="&amp;DATE(YEAR(00_PARAMETROS!$B$4),MONTH(00_PARAMETROS!$B$4)-1,1))+00_PARAMETROS!$B$11,0)</f>
        <v>0</v>
      </c>
      <c r="T41" s="24" t="n">
        <f aca="false">IF(P41+Q41&gt;0,MIN(00_PARAMETROS!$B$9,00_PARAMETROS!$B$8*MAX(0,00_PARAMETROS!$B$4-B41)),0)</f>
        <v>0</v>
      </c>
      <c r="U41" s="11" t="n">
        <f aca="false">ROUND(P41*(1+S41+T41),2)</f>
        <v>0</v>
      </c>
      <c r="V41" s="11" t="n">
        <f aca="false">ROUND(Q41*(1+S41+T41),2)</f>
        <v>0</v>
      </c>
      <c r="W41" s="11" t="n">
        <f aca="false">ROUND(R41*(1+S41+T41),2)</f>
        <v>0</v>
      </c>
      <c r="X41" s="10"/>
    </row>
    <row r="42" customFormat="false" ht="32.8" hidden="false" customHeight="false" outlineLevel="0" collapsed="false">
      <c r="A42" s="10" t="n">
        <v>38</v>
      </c>
      <c r="B42" s="19" t="n">
        <v>45694</v>
      </c>
      <c r="C42" s="21" t="n">
        <f aca="false">YEAR(B42)</f>
        <v>2025</v>
      </c>
      <c r="D42" s="10" t="s">
        <v>233</v>
      </c>
      <c r="E42" s="10" t="s">
        <v>234</v>
      </c>
      <c r="F42" s="11" t="n">
        <v>-79.2</v>
      </c>
      <c r="G42" s="10" t="s">
        <v>181</v>
      </c>
      <c r="H42" s="10" t="s">
        <v>187</v>
      </c>
      <c r="I42" s="10" t="s">
        <v>230</v>
      </c>
      <c r="J42" s="10" t="s">
        <v>188</v>
      </c>
      <c r="K42" s="22" t="s">
        <v>184</v>
      </c>
      <c r="L42" s="10" t="str">
        <f aca="false">IF(AND(G42="entrada",F42&gt;=00_PARAMETROS!$B$7),"SIM","NÃO")</f>
        <v>NÃO</v>
      </c>
      <c r="M42" s="23"/>
      <c r="N42" s="24" t="n">
        <f aca="false">IFERROR(INDEX(00_PARAMETROS!$B$41:$B$54,MATCH(K42,00_PARAMETROS!$A$41:$A$54,0)),0)</f>
        <v>0</v>
      </c>
      <c r="O42" s="11" t="n">
        <f aca="false">IF(OR(G42&lt;&gt;"entrada",N42=0),0,IF(K42="VENDA_BEM_BR_GCAP",N(M42),F42))</f>
        <v>0</v>
      </c>
      <c r="P42" s="11" t="n">
        <f aca="false">ROUND(O42*N42,2)</f>
        <v>0</v>
      </c>
      <c r="Q42" s="11" t="n">
        <f aca="false">IF(AND(G42="entrada",K42="PENDENTE"),ROUND(F42*00_PARAMETROS!$B$12,2),0)</f>
        <v>0</v>
      </c>
      <c r="R42" s="11" t="n">
        <f aca="false">IF(AND(G42="entrada",K42="PENDENTE"),ROUND(F42*00_PARAMETROS!$B$13,2),0)</f>
        <v>0</v>
      </c>
      <c r="S42" s="24" t="n">
        <f aca="false">IF(P42+Q42&gt;0,SUMIFS(SELIC!$B$4:$B$96,SELIC!$A$4:$A$96,"&gt;="&amp;DATE(YEAR(B42),MONTH(B42)+1,1),SELIC!$A$4:$A$96,"&lt;="&amp;DATE(YEAR(00_PARAMETROS!$B$4),MONTH(00_PARAMETROS!$B$4)-1,1))+00_PARAMETROS!$B$11,0)</f>
        <v>0</v>
      </c>
      <c r="T42" s="24" t="n">
        <f aca="false">IF(P42+Q42&gt;0,MIN(00_PARAMETROS!$B$9,00_PARAMETROS!$B$8*MAX(0,00_PARAMETROS!$B$4-B42)),0)</f>
        <v>0</v>
      </c>
      <c r="U42" s="11" t="n">
        <f aca="false">ROUND(P42*(1+S42+T42),2)</f>
        <v>0</v>
      </c>
      <c r="V42" s="11" t="n">
        <f aca="false">ROUND(Q42*(1+S42+T42),2)</f>
        <v>0</v>
      </c>
      <c r="W42" s="11" t="n">
        <f aca="false">ROUND(R42*(1+S42+T42),2)</f>
        <v>0</v>
      </c>
      <c r="X42" s="10"/>
    </row>
    <row r="43" customFormat="false" ht="32.8" hidden="false" customHeight="false" outlineLevel="0" collapsed="false">
      <c r="A43" s="10" t="n">
        <v>39</v>
      </c>
      <c r="B43" s="19" t="n">
        <v>45695</v>
      </c>
      <c r="C43" s="21" t="n">
        <f aca="false">YEAR(B43)</f>
        <v>2025</v>
      </c>
      <c r="D43" s="10" t="s">
        <v>235</v>
      </c>
      <c r="E43" s="10" t="s">
        <v>236</v>
      </c>
      <c r="F43" s="11" t="n">
        <v>-227.71</v>
      </c>
      <c r="G43" s="10" t="s">
        <v>181</v>
      </c>
      <c r="H43" s="10" t="s">
        <v>187</v>
      </c>
      <c r="I43" s="10" t="s">
        <v>230</v>
      </c>
      <c r="J43" s="10" t="s">
        <v>188</v>
      </c>
      <c r="K43" s="22" t="s">
        <v>184</v>
      </c>
      <c r="L43" s="10" t="str">
        <f aca="false">IF(AND(G43="entrada",F43&gt;=00_PARAMETROS!$B$7),"SIM","NÃO")</f>
        <v>NÃO</v>
      </c>
      <c r="M43" s="23"/>
      <c r="N43" s="24" t="n">
        <f aca="false">IFERROR(INDEX(00_PARAMETROS!$B$41:$B$54,MATCH(K43,00_PARAMETROS!$A$41:$A$54,0)),0)</f>
        <v>0</v>
      </c>
      <c r="O43" s="11" t="n">
        <f aca="false">IF(OR(G43&lt;&gt;"entrada",N43=0),0,IF(K43="VENDA_BEM_BR_GCAP",N(M43),F43))</f>
        <v>0</v>
      </c>
      <c r="P43" s="11" t="n">
        <f aca="false">ROUND(O43*N43,2)</f>
        <v>0</v>
      </c>
      <c r="Q43" s="11" t="n">
        <f aca="false">IF(AND(G43="entrada",K43="PENDENTE"),ROUND(F43*00_PARAMETROS!$B$12,2),0)</f>
        <v>0</v>
      </c>
      <c r="R43" s="11" t="n">
        <f aca="false">IF(AND(G43="entrada",K43="PENDENTE"),ROUND(F43*00_PARAMETROS!$B$13,2),0)</f>
        <v>0</v>
      </c>
      <c r="S43" s="24" t="n">
        <f aca="false">IF(P43+Q43&gt;0,SUMIFS(SELIC!$B$4:$B$96,SELIC!$A$4:$A$96,"&gt;="&amp;DATE(YEAR(B43),MONTH(B43)+1,1),SELIC!$A$4:$A$96,"&lt;="&amp;DATE(YEAR(00_PARAMETROS!$B$4),MONTH(00_PARAMETROS!$B$4)-1,1))+00_PARAMETROS!$B$11,0)</f>
        <v>0</v>
      </c>
      <c r="T43" s="24" t="n">
        <f aca="false">IF(P43+Q43&gt;0,MIN(00_PARAMETROS!$B$9,00_PARAMETROS!$B$8*MAX(0,00_PARAMETROS!$B$4-B43)),0)</f>
        <v>0</v>
      </c>
      <c r="U43" s="11" t="n">
        <f aca="false">ROUND(P43*(1+S43+T43),2)</f>
        <v>0</v>
      </c>
      <c r="V43" s="11" t="n">
        <f aca="false">ROUND(Q43*(1+S43+T43),2)</f>
        <v>0</v>
      </c>
      <c r="W43" s="11" t="n">
        <f aca="false">ROUND(R43*(1+S43+T43),2)</f>
        <v>0</v>
      </c>
      <c r="X43" s="10"/>
    </row>
    <row r="44" customFormat="false" ht="22.35" hidden="false" customHeight="false" outlineLevel="0" collapsed="false">
      <c r="A44" s="10" t="n">
        <v>40</v>
      </c>
      <c r="B44" s="19" t="n">
        <v>45696</v>
      </c>
      <c r="C44" s="21" t="n">
        <f aca="false">YEAR(B44)</f>
        <v>2025</v>
      </c>
      <c r="D44" s="10" t="s">
        <v>237</v>
      </c>
      <c r="E44" s="10" t="s">
        <v>238</v>
      </c>
      <c r="F44" s="11" t="n">
        <v>900</v>
      </c>
      <c r="G44" s="10" t="s">
        <v>175</v>
      </c>
      <c r="H44" s="10" t="s">
        <v>212</v>
      </c>
      <c r="I44" s="10" t="s">
        <v>230</v>
      </c>
      <c r="J44" s="10" t="s">
        <v>213</v>
      </c>
      <c r="K44" s="22" t="s">
        <v>214</v>
      </c>
      <c r="L44" s="10" t="str">
        <f aca="false">IF(AND(G44="entrada",F44&gt;=00_PARAMETROS!$B$7),"SIM","NÃO")</f>
        <v>NÃO</v>
      </c>
      <c r="M44" s="23"/>
      <c r="N44" s="24" t="n">
        <f aca="false">IFERROR(INDEX(00_PARAMETROS!$B$41:$B$54,MATCH(K44,00_PARAMETROS!$A$41:$A$54,0)),0)</f>
        <v>0</v>
      </c>
      <c r="O44" s="11" t="n">
        <f aca="false">IF(OR(G44&lt;&gt;"entrada",N44=0),0,IF(K44="VENDA_BEM_BR_GCAP",N(M44),F44))</f>
        <v>0</v>
      </c>
      <c r="P44" s="11" t="n">
        <f aca="false">ROUND(O44*N44,2)</f>
        <v>0</v>
      </c>
      <c r="Q44" s="11" t="n">
        <f aca="false">IF(AND(G44="entrada",K44="PENDENTE"),ROUND(F44*00_PARAMETROS!$B$12,2),0)</f>
        <v>0</v>
      </c>
      <c r="R44" s="11" t="n">
        <f aca="false">IF(AND(G44="entrada",K44="PENDENTE"),ROUND(F44*00_PARAMETROS!$B$13,2),0)</f>
        <v>0</v>
      </c>
      <c r="S44" s="24" t="n">
        <f aca="false">IF(P44+Q44&gt;0,SUMIFS(SELIC!$B$4:$B$96,SELIC!$A$4:$A$96,"&gt;="&amp;DATE(YEAR(B44),MONTH(B44)+1,1),SELIC!$A$4:$A$96,"&lt;="&amp;DATE(YEAR(00_PARAMETROS!$B$4),MONTH(00_PARAMETROS!$B$4)-1,1))+00_PARAMETROS!$B$11,0)</f>
        <v>0</v>
      </c>
      <c r="T44" s="24" t="n">
        <f aca="false">IF(P44+Q44&gt;0,MIN(00_PARAMETROS!$B$9,00_PARAMETROS!$B$8*MAX(0,00_PARAMETROS!$B$4-B44)),0)</f>
        <v>0</v>
      </c>
      <c r="U44" s="11" t="n">
        <f aca="false">ROUND(P44*(1+S44+T44),2)</f>
        <v>0</v>
      </c>
      <c r="V44" s="11" t="n">
        <f aca="false">ROUND(Q44*(1+S44+T44),2)</f>
        <v>0</v>
      </c>
      <c r="W44" s="11" t="n">
        <f aca="false">ROUND(R44*(1+S44+T44),2)</f>
        <v>0</v>
      </c>
      <c r="X44" s="10"/>
    </row>
    <row r="45" customFormat="false" ht="32.8" hidden="false" customHeight="false" outlineLevel="0" collapsed="false">
      <c r="A45" s="10" t="n">
        <v>41</v>
      </c>
      <c r="B45" s="19" t="n">
        <v>45696</v>
      </c>
      <c r="C45" s="21" t="n">
        <f aca="false">YEAR(B45)</f>
        <v>2025</v>
      </c>
      <c r="D45" s="10" t="s">
        <v>239</v>
      </c>
      <c r="E45" s="10" t="s">
        <v>238</v>
      </c>
      <c r="F45" s="11" t="n">
        <v>-900</v>
      </c>
      <c r="G45" s="10" t="s">
        <v>181</v>
      </c>
      <c r="H45" s="10" t="s">
        <v>187</v>
      </c>
      <c r="I45" s="10" t="s">
        <v>230</v>
      </c>
      <c r="J45" s="10" t="s">
        <v>188</v>
      </c>
      <c r="K45" s="22" t="s">
        <v>184</v>
      </c>
      <c r="L45" s="10" t="str">
        <f aca="false">IF(AND(G45="entrada",F45&gt;=00_PARAMETROS!$B$7),"SIM","NÃO")</f>
        <v>NÃO</v>
      </c>
      <c r="M45" s="23"/>
      <c r="N45" s="24" t="n">
        <f aca="false">IFERROR(INDEX(00_PARAMETROS!$B$41:$B$54,MATCH(K45,00_PARAMETROS!$A$41:$A$54,0)),0)</f>
        <v>0</v>
      </c>
      <c r="O45" s="11" t="n">
        <f aca="false">IF(OR(G45&lt;&gt;"entrada",N45=0),0,IF(K45="VENDA_BEM_BR_GCAP",N(M45),F45))</f>
        <v>0</v>
      </c>
      <c r="P45" s="11" t="n">
        <f aca="false">ROUND(O45*N45,2)</f>
        <v>0</v>
      </c>
      <c r="Q45" s="11" t="n">
        <f aca="false">IF(AND(G45="entrada",K45="PENDENTE"),ROUND(F45*00_PARAMETROS!$B$12,2),0)</f>
        <v>0</v>
      </c>
      <c r="R45" s="11" t="n">
        <f aca="false">IF(AND(G45="entrada",K45="PENDENTE"),ROUND(F45*00_PARAMETROS!$B$13,2),0)</f>
        <v>0</v>
      </c>
      <c r="S45" s="24" t="n">
        <f aca="false">IF(P45+Q45&gt;0,SUMIFS(SELIC!$B$4:$B$96,SELIC!$A$4:$A$96,"&gt;="&amp;DATE(YEAR(B45),MONTH(B45)+1,1),SELIC!$A$4:$A$96,"&lt;="&amp;DATE(YEAR(00_PARAMETROS!$B$4),MONTH(00_PARAMETROS!$B$4)-1,1))+00_PARAMETROS!$B$11,0)</f>
        <v>0</v>
      </c>
      <c r="T45" s="24" t="n">
        <f aca="false">IF(P45+Q45&gt;0,MIN(00_PARAMETROS!$B$9,00_PARAMETROS!$B$8*MAX(0,00_PARAMETROS!$B$4-B45)),0)</f>
        <v>0</v>
      </c>
      <c r="U45" s="11" t="n">
        <f aca="false">ROUND(P45*(1+S45+T45),2)</f>
        <v>0</v>
      </c>
      <c r="V45" s="11" t="n">
        <f aca="false">ROUND(Q45*(1+S45+T45),2)</f>
        <v>0</v>
      </c>
      <c r="W45" s="11" t="n">
        <f aca="false">ROUND(R45*(1+S45+T45),2)</f>
        <v>0</v>
      </c>
      <c r="X45" s="10"/>
    </row>
    <row r="46" customFormat="false" ht="43.25" hidden="false" customHeight="false" outlineLevel="0" collapsed="false">
      <c r="A46" s="10" t="n">
        <v>42</v>
      </c>
      <c r="B46" s="19" t="n">
        <v>45696</v>
      </c>
      <c r="C46" s="21" t="n">
        <f aca="false">YEAR(B46)</f>
        <v>2025</v>
      </c>
      <c r="D46" s="10" t="s">
        <v>240</v>
      </c>
      <c r="E46" s="10" t="s">
        <v>238</v>
      </c>
      <c r="F46" s="11" t="n">
        <v>-900</v>
      </c>
      <c r="G46" s="10" t="s">
        <v>181</v>
      </c>
      <c r="H46" s="10" t="s">
        <v>187</v>
      </c>
      <c r="I46" s="10" t="s">
        <v>230</v>
      </c>
      <c r="J46" s="10" t="s">
        <v>188</v>
      </c>
      <c r="K46" s="22" t="s">
        <v>184</v>
      </c>
      <c r="L46" s="10" t="str">
        <f aca="false">IF(AND(G46="entrada",F46&gt;=00_PARAMETROS!$B$7),"SIM","NÃO")</f>
        <v>NÃO</v>
      </c>
      <c r="M46" s="23"/>
      <c r="N46" s="24" t="n">
        <f aca="false">IFERROR(INDEX(00_PARAMETROS!$B$41:$B$54,MATCH(K46,00_PARAMETROS!$A$41:$A$54,0)),0)</f>
        <v>0</v>
      </c>
      <c r="O46" s="11" t="n">
        <f aca="false">IF(OR(G46&lt;&gt;"entrada",N46=0),0,IF(K46="VENDA_BEM_BR_GCAP",N(M46),F46))</f>
        <v>0</v>
      </c>
      <c r="P46" s="11" t="n">
        <f aca="false">ROUND(O46*N46,2)</f>
        <v>0</v>
      </c>
      <c r="Q46" s="11" t="n">
        <f aca="false">IF(AND(G46="entrada",K46="PENDENTE"),ROUND(F46*00_PARAMETROS!$B$12,2),0)</f>
        <v>0</v>
      </c>
      <c r="R46" s="11" t="n">
        <f aca="false">IF(AND(G46="entrada",K46="PENDENTE"),ROUND(F46*00_PARAMETROS!$B$13,2),0)</f>
        <v>0</v>
      </c>
      <c r="S46" s="24" t="n">
        <f aca="false">IF(P46+Q46&gt;0,SUMIFS(SELIC!$B$4:$B$96,SELIC!$A$4:$A$96,"&gt;="&amp;DATE(YEAR(B46),MONTH(B46)+1,1),SELIC!$A$4:$A$96,"&lt;="&amp;DATE(YEAR(00_PARAMETROS!$B$4),MONTH(00_PARAMETROS!$B$4)-1,1))+00_PARAMETROS!$B$11,0)</f>
        <v>0</v>
      </c>
      <c r="T46" s="24" t="n">
        <f aca="false">IF(P46+Q46&gt;0,MIN(00_PARAMETROS!$B$9,00_PARAMETROS!$B$8*MAX(0,00_PARAMETROS!$B$4-B46)),0)</f>
        <v>0</v>
      </c>
      <c r="U46" s="11" t="n">
        <f aca="false">ROUND(P46*(1+S46+T46),2)</f>
        <v>0</v>
      </c>
      <c r="V46" s="11" t="n">
        <f aca="false">ROUND(Q46*(1+S46+T46),2)</f>
        <v>0</v>
      </c>
      <c r="W46" s="11" t="n">
        <f aca="false">ROUND(R46*(1+S46+T46),2)</f>
        <v>0</v>
      </c>
      <c r="X46" s="10"/>
    </row>
    <row r="47" customFormat="false" ht="32.8" hidden="false" customHeight="false" outlineLevel="0" collapsed="false">
      <c r="A47" s="10" t="n">
        <v>43</v>
      </c>
      <c r="B47" s="19" t="n">
        <v>45702</v>
      </c>
      <c r="C47" s="21" t="n">
        <f aca="false">YEAR(B47)</f>
        <v>2025</v>
      </c>
      <c r="D47" s="10" t="s">
        <v>200</v>
      </c>
      <c r="E47" s="10" t="s">
        <v>135</v>
      </c>
      <c r="F47" s="11" t="n">
        <v>10000</v>
      </c>
      <c r="G47" s="10" t="s">
        <v>175</v>
      </c>
      <c r="H47" s="10" t="s">
        <v>187</v>
      </c>
      <c r="I47" s="10" t="s">
        <v>230</v>
      </c>
      <c r="J47" s="25" t="s">
        <v>190</v>
      </c>
      <c r="K47" s="22" t="s">
        <v>191</v>
      </c>
      <c r="L47" s="10" t="str">
        <f aca="false">IF(AND(G47="entrada",F47&gt;=00_PARAMETROS!$B$7),"SIM","NÃO")</f>
        <v>SIM</v>
      </c>
      <c r="M47" s="23"/>
      <c r="N47" s="24" t="n">
        <f aca="false">IFERROR(INDEX(00_PARAMETROS!$B$41:$B$54,MATCH(K47,00_PARAMETROS!$A$41:$A$54,0)),0)</f>
        <v>0</v>
      </c>
      <c r="O47" s="11" t="n">
        <f aca="false">IF(OR(G47&lt;&gt;"entrada",N47=0),0,IF(K47="VENDA_BEM_BR_GCAP",N(M47),F47))</f>
        <v>0</v>
      </c>
      <c r="P47" s="11" t="n">
        <f aca="false">ROUND(O47*N47,2)</f>
        <v>0</v>
      </c>
      <c r="Q47" s="11" t="n">
        <f aca="false">IF(AND(G47="entrada",K47="PENDENTE"),ROUND(F47*00_PARAMETROS!$B$12,2),0)</f>
        <v>1500</v>
      </c>
      <c r="R47" s="11" t="n">
        <f aca="false">IF(AND(G47="entrada",K47="PENDENTE"),ROUND(F47*00_PARAMETROS!$B$13,2),0)</f>
        <v>2500</v>
      </c>
      <c r="S47" s="24" t="n">
        <f aca="false">IF(P47+Q47&gt;0,SUMIFS(SELIC!$B$4:$B$96,SELIC!$A$4:$A$96,"&gt;="&amp;DATE(YEAR(B47),MONTH(B47)+1,1),SELIC!$A$4:$A$96,"&lt;="&amp;DATE(YEAR(00_PARAMETROS!$B$4),MONTH(00_PARAMETROS!$B$4)-1,1))+00_PARAMETROS!$B$11,0)</f>
        <v>0.2143</v>
      </c>
      <c r="T47" s="24" t="n">
        <f aca="false">IF(P47+Q47&gt;0,MIN(00_PARAMETROS!$B$9,00_PARAMETROS!$B$8*MAX(0,00_PARAMETROS!$B$4-B47)),0)</f>
        <v>0.2</v>
      </c>
      <c r="U47" s="11" t="n">
        <f aca="false">ROUND(P47*(1+S47+T47),2)</f>
        <v>0</v>
      </c>
      <c r="V47" s="11" t="n">
        <f aca="false">ROUND(Q47*(1+S47+T47),2)</f>
        <v>2121.45</v>
      </c>
      <c r="W47" s="11" t="n">
        <f aca="false">ROUND(R47*(1+S47+T47),2)</f>
        <v>3535.75</v>
      </c>
      <c r="X47" s="10"/>
    </row>
    <row r="48" customFormat="false" ht="15" hidden="false" customHeight="false" outlineLevel="0" collapsed="false">
      <c r="A48" s="10" t="n">
        <v>44</v>
      </c>
      <c r="B48" s="19" t="n">
        <v>45702</v>
      </c>
      <c r="C48" s="21" t="n">
        <f aca="false">YEAR(B48)</f>
        <v>2025</v>
      </c>
      <c r="D48" s="10" t="s">
        <v>180</v>
      </c>
      <c r="E48" s="10" t="s">
        <v>180</v>
      </c>
      <c r="F48" s="11" t="n">
        <v>-10000</v>
      </c>
      <c r="G48" s="10" t="s">
        <v>181</v>
      </c>
      <c r="H48" s="10" t="s">
        <v>182</v>
      </c>
      <c r="I48" s="10" t="s">
        <v>230</v>
      </c>
      <c r="J48" s="10" t="s">
        <v>183</v>
      </c>
      <c r="K48" s="22" t="s">
        <v>184</v>
      </c>
      <c r="L48" s="10" t="str">
        <f aca="false">IF(AND(G48="entrada",F48&gt;=00_PARAMETROS!$B$7),"SIM","NÃO")</f>
        <v>NÃO</v>
      </c>
      <c r="M48" s="23"/>
      <c r="N48" s="24" t="n">
        <f aca="false">IFERROR(INDEX(00_PARAMETROS!$B$41:$B$54,MATCH(K48,00_PARAMETROS!$A$41:$A$54,0)),0)</f>
        <v>0</v>
      </c>
      <c r="O48" s="11" t="n">
        <f aca="false">IF(OR(G48&lt;&gt;"entrada",N48=0),0,IF(K48="VENDA_BEM_BR_GCAP",N(M48),F48))</f>
        <v>0</v>
      </c>
      <c r="P48" s="11" t="n">
        <f aca="false">ROUND(O48*N48,2)</f>
        <v>0</v>
      </c>
      <c r="Q48" s="11" t="n">
        <f aca="false">IF(AND(G48="entrada",K48="PENDENTE"),ROUND(F48*00_PARAMETROS!$B$12,2),0)</f>
        <v>0</v>
      </c>
      <c r="R48" s="11" t="n">
        <f aca="false">IF(AND(G48="entrada",K48="PENDENTE"),ROUND(F48*00_PARAMETROS!$B$13,2),0)</f>
        <v>0</v>
      </c>
      <c r="S48" s="24" t="n">
        <f aca="false">IF(P48+Q48&gt;0,SUMIFS(SELIC!$B$4:$B$96,SELIC!$A$4:$A$96,"&gt;="&amp;DATE(YEAR(B48),MONTH(B48)+1,1),SELIC!$A$4:$A$96,"&lt;="&amp;DATE(YEAR(00_PARAMETROS!$B$4),MONTH(00_PARAMETROS!$B$4)-1,1))+00_PARAMETROS!$B$11,0)</f>
        <v>0</v>
      </c>
      <c r="T48" s="24" t="n">
        <f aca="false">IF(P48+Q48&gt;0,MIN(00_PARAMETROS!$B$9,00_PARAMETROS!$B$8*MAX(0,00_PARAMETROS!$B$4-B48)),0)</f>
        <v>0</v>
      </c>
      <c r="U48" s="11" t="n">
        <f aca="false">ROUND(P48*(1+S48+T48),2)</f>
        <v>0</v>
      </c>
      <c r="V48" s="11" t="n">
        <f aca="false">ROUND(Q48*(1+S48+T48),2)</f>
        <v>0</v>
      </c>
      <c r="W48" s="11" t="n">
        <f aca="false">ROUND(R48*(1+S48+T48),2)</f>
        <v>0</v>
      </c>
      <c r="X48" s="10"/>
    </row>
    <row r="49" customFormat="false" ht="32.8" hidden="false" customHeight="false" outlineLevel="0" collapsed="false">
      <c r="A49" s="10" t="n">
        <v>45</v>
      </c>
      <c r="B49" s="19" t="n">
        <v>45703</v>
      </c>
      <c r="C49" s="21" t="n">
        <f aca="false">YEAR(B49)</f>
        <v>2025</v>
      </c>
      <c r="D49" s="10" t="s">
        <v>241</v>
      </c>
      <c r="E49" s="10" t="s">
        <v>242</v>
      </c>
      <c r="F49" s="11" t="n">
        <v>-2500</v>
      </c>
      <c r="G49" s="10" t="s">
        <v>181</v>
      </c>
      <c r="H49" s="10" t="s">
        <v>187</v>
      </c>
      <c r="I49" s="10" t="s">
        <v>230</v>
      </c>
      <c r="J49" s="10" t="s">
        <v>188</v>
      </c>
      <c r="K49" s="22" t="s">
        <v>184</v>
      </c>
      <c r="L49" s="10" t="str">
        <f aca="false">IF(AND(G49="entrada",F49&gt;=00_PARAMETROS!$B$7),"SIM","NÃO")</f>
        <v>NÃO</v>
      </c>
      <c r="M49" s="23"/>
      <c r="N49" s="24" t="n">
        <f aca="false">IFERROR(INDEX(00_PARAMETROS!$B$41:$B$54,MATCH(K49,00_PARAMETROS!$A$41:$A$54,0)),0)</f>
        <v>0</v>
      </c>
      <c r="O49" s="11" t="n">
        <f aca="false">IF(OR(G49&lt;&gt;"entrada",N49=0),0,IF(K49="VENDA_BEM_BR_GCAP",N(M49),F49))</f>
        <v>0</v>
      </c>
      <c r="P49" s="11" t="n">
        <f aca="false">ROUND(O49*N49,2)</f>
        <v>0</v>
      </c>
      <c r="Q49" s="11" t="n">
        <f aca="false">IF(AND(G49="entrada",K49="PENDENTE"),ROUND(F49*00_PARAMETROS!$B$12,2),0)</f>
        <v>0</v>
      </c>
      <c r="R49" s="11" t="n">
        <f aca="false">IF(AND(G49="entrada",K49="PENDENTE"),ROUND(F49*00_PARAMETROS!$B$13,2),0)</f>
        <v>0</v>
      </c>
      <c r="S49" s="24" t="n">
        <f aca="false">IF(P49+Q49&gt;0,SUMIFS(SELIC!$B$4:$B$96,SELIC!$A$4:$A$96,"&gt;="&amp;DATE(YEAR(B49),MONTH(B49)+1,1),SELIC!$A$4:$A$96,"&lt;="&amp;DATE(YEAR(00_PARAMETROS!$B$4),MONTH(00_PARAMETROS!$B$4)-1,1))+00_PARAMETROS!$B$11,0)</f>
        <v>0</v>
      </c>
      <c r="T49" s="24" t="n">
        <f aca="false">IF(P49+Q49&gt;0,MIN(00_PARAMETROS!$B$9,00_PARAMETROS!$B$8*MAX(0,00_PARAMETROS!$B$4-B49)),0)</f>
        <v>0</v>
      </c>
      <c r="U49" s="11" t="n">
        <f aca="false">ROUND(P49*(1+S49+T49),2)</f>
        <v>0</v>
      </c>
      <c r="V49" s="11" t="n">
        <f aca="false">ROUND(Q49*(1+S49+T49),2)</f>
        <v>0</v>
      </c>
      <c r="W49" s="11" t="n">
        <f aca="false">ROUND(R49*(1+S49+T49),2)</f>
        <v>0</v>
      </c>
      <c r="X49" s="10"/>
    </row>
    <row r="50" customFormat="false" ht="32.8" hidden="false" customHeight="false" outlineLevel="0" collapsed="false">
      <c r="A50" s="10" t="n">
        <v>46</v>
      </c>
      <c r="B50" s="19" t="n">
        <v>45703</v>
      </c>
      <c r="C50" s="21" t="n">
        <f aca="false">YEAR(B50)</f>
        <v>2025</v>
      </c>
      <c r="D50" s="10" t="s">
        <v>243</v>
      </c>
      <c r="E50" s="10" t="s">
        <v>244</v>
      </c>
      <c r="F50" s="11" t="n">
        <v>-300</v>
      </c>
      <c r="G50" s="10" t="s">
        <v>181</v>
      </c>
      <c r="H50" s="10" t="s">
        <v>187</v>
      </c>
      <c r="I50" s="10" t="s">
        <v>230</v>
      </c>
      <c r="J50" s="10" t="s">
        <v>188</v>
      </c>
      <c r="K50" s="22" t="s">
        <v>184</v>
      </c>
      <c r="L50" s="10" t="str">
        <f aca="false">IF(AND(G50="entrada",F50&gt;=00_PARAMETROS!$B$7),"SIM","NÃO")</f>
        <v>NÃO</v>
      </c>
      <c r="M50" s="23"/>
      <c r="N50" s="24" t="n">
        <f aca="false">IFERROR(INDEX(00_PARAMETROS!$B$41:$B$54,MATCH(K50,00_PARAMETROS!$A$41:$A$54,0)),0)</f>
        <v>0</v>
      </c>
      <c r="O50" s="11" t="n">
        <f aca="false">IF(OR(G50&lt;&gt;"entrada",N50=0),0,IF(K50="VENDA_BEM_BR_GCAP",N(M50),F50))</f>
        <v>0</v>
      </c>
      <c r="P50" s="11" t="n">
        <f aca="false">ROUND(O50*N50,2)</f>
        <v>0</v>
      </c>
      <c r="Q50" s="11" t="n">
        <f aca="false">IF(AND(G50="entrada",K50="PENDENTE"),ROUND(F50*00_PARAMETROS!$B$12,2),0)</f>
        <v>0</v>
      </c>
      <c r="R50" s="11" t="n">
        <f aca="false">IF(AND(G50="entrada",K50="PENDENTE"),ROUND(F50*00_PARAMETROS!$B$13,2),0)</f>
        <v>0</v>
      </c>
      <c r="S50" s="24" t="n">
        <f aca="false">IF(P50+Q50&gt;0,SUMIFS(SELIC!$B$4:$B$96,SELIC!$A$4:$A$96,"&gt;="&amp;DATE(YEAR(B50),MONTH(B50)+1,1),SELIC!$A$4:$A$96,"&lt;="&amp;DATE(YEAR(00_PARAMETROS!$B$4),MONTH(00_PARAMETROS!$B$4)-1,1))+00_PARAMETROS!$B$11,0)</f>
        <v>0</v>
      </c>
      <c r="T50" s="24" t="n">
        <f aca="false">IF(P50+Q50&gt;0,MIN(00_PARAMETROS!$B$9,00_PARAMETROS!$B$8*MAX(0,00_PARAMETROS!$B$4-B50)),0)</f>
        <v>0</v>
      </c>
      <c r="U50" s="11" t="n">
        <f aca="false">ROUND(P50*(1+S50+T50),2)</f>
        <v>0</v>
      </c>
      <c r="V50" s="11" t="n">
        <f aca="false">ROUND(Q50*(1+S50+T50),2)</f>
        <v>0</v>
      </c>
      <c r="W50" s="11" t="n">
        <f aca="false">ROUND(R50*(1+S50+T50),2)</f>
        <v>0</v>
      </c>
      <c r="X50" s="10"/>
    </row>
    <row r="51" customFormat="false" ht="32.8" hidden="false" customHeight="false" outlineLevel="0" collapsed="false">
      <c r="A51" s="10" t="n">
        <v>47</v>
      </c>
      <c r="B51" s="19" t="n">
        <v>45705</v>
      </c>
      <c r="C51" s="21" t="n">
        <f aca="false">YEAR(B51)</f>
        <v>2025</v>
      </c>
      <c r="D51" s="10" t="s">
        <v>200</v>
      </c>
      <c r="E51" s="10" t="s">
        <v>135</v>
      </c>
      <c r="F51" s="11" t="n">
        <v>2500</v>
      </c>
      <c r="G51" s="10" t="s">
        <v>175</v>
      </c>
      <c r="H51" s="10" t="s">
        <v>187</v>
      </c>
      <c r="I51" s="10" t="s">
        <v>230</v>
      </c>
      <c r="J51" s="25" t="s">
        <v>190</v>
      </c>
      <c r="K51" s="22" t="s">
        <v>191</v>
      </c>
      <c r="L51" s="10" t="str">
        <f aca="false">IF(AND(G51="entrada",F51&gt;=00_PARAMETROS!$B$7),"SIM","NÃO")</f>
        <v>NÃO</v>
      </c>
      <c r="M51" s="23"/>
      <c r="N51" s="24" t="n">
        <f aca="false">IFERROR(INDEX(00_PARAMETROS!$B$41:$B$54,MATCH(K51,00_PARAMETROS!$A$41:$A$54,0)),0)</f>
        <v>0</v>
      </c>
      <c r="O51" s="11" t="n">
        <f aca="false">IF(OR(G51&lt;&gt;"entrada",N51=0),0,IF(K51="VENDA_BEM_BR_GCAP",N(M51),F51))</f>
        <v>0</v>
      </c>
      <c r="P51" s="11" t="n">
        <f aca="false">ROUND(O51*N51,2)</f>
        <v>0</v>
      </c>
      <c r="Q51" s="11" t="n">
        <f aca="false">IF(AND(G51="entrada",K51="PENDENTE"),ROUND(F51*00_PARAMETROS!$B$12,2),0)</f>
        <v>375</v>
      </c>
      <c r="R51" s="11" t="n">
        <f aca="false">IF(AND(G51="entrada",K51="PENDENTE"),ROUND(F51*00_PARAMETROS!$B$13,2),0)</f>
        <v>625</v>
      </c>
      <c r="S51" s="24" t="n">
        <f aca="false">IF(P51+Q51&gt;0,SUMIFS(SELIC!$B$4:$B$96,SELIC!$A$4:$A$96,"&gt;="&amp;DATE(YEAR(B51),MONTH(B51)+1,1),SELIC!$A$4:$A$96,"&lt;="&amp;DATE(YEAR(00_PARAMETROS!$B$4),MONTH(00_PARAMETROS!$B$4)-1,1))+00_PARAMETROS!$B$11,0)</f>
        <v>0.2143</v>
      </c>
      <c r="T51" s="24" t="n">
        <f aca="false">IF(P51+Q51&gt;0,MIN(00_PARAMETROS!$B$9,00_PARAMETROS!$B$8*MAX(0,00_PARAMETROS!$B$4-B51)),0)</f>
        <v>0.2</v>
      </c>
      <c r="U51" s="11" t="n">
        <f aca="false">ROUND(P51*(1+S51+T51),2)</f>
        <v>0</v>
      </c>
      <c r="V51" s="11" t="n">
        <f aca="false">ROUND(Q51*(1+S51+T51),2)</f>
        <v>530.36</v>
      </c>
      <c r="W51" s="11" t="n">
        <f aca="false">ROUND(R51*(1+S51+T51),2)</f>
        <v>883.94</v>
      </c>
      <c r="X51" s="10"/>
    </row>
    <row r="52" customFormat="false" ht="32.8" hidden="false" customHeight="false" outlineLevel="0" collapsed="false">
      <c r="A52" s="10" t="n">
        <v>48</v>
      </c>
      <c r="B52" s="19" t="n">
        <v>45705</v>
      </c>
      <c r="C52" s="21" t="n">
        <f aca="false">YEAR(B52)</f>
        <v>2025</v>
      </c>
      <c r="D52" s="10" t="s">
        <v>245</v>
      </c>
      <c r="E52" s="10" t="s">
        <v>145</v>
      </c>
      <c r="F52" s="11" t="n">
        <v>-840</v>
      </c>
      <c r="G52" s="10" t="s">
        <v>181</v>
      </c>
      <c r="H52" s="10" t="s">
        <v>187</v>
      </c>
      <c r="I52" s="10" t="s">
        <v>230</v>
      </c>
      <c r="J52" s="10" t="s">
        <v>188</v>
      </c>
      <c r="K52" s="22" t="s">
        <v>184</v>
      </c>
      <c r="L52" s="10" t="str">
        <f aca="false">IF(AND(G52="entrada",F52&gt;=00_PARAMETROS!$B$7),"SIM","NÃO")</f>
        <v>NÃO</v>
      </c>
      <c r="M52" s="23"/>
      <c r="N52" s="24" t="n">
        <f aca="false">IFERROR(INDEX(00_PARAMETROS!$B$41:$B$54,MATCH(K52,00_PARAMETROS!$A$41:$A$54,0)),0)</f>
        <v>0</v>
      </c>
      <c r="O52" s="11" t="n">
        <f aca="false">IF(OR(G52&lt;&gt;"entrada",N52=0),0,IF(K52="VENDA_BEM_BR_GCAP",N(M52),F52))</f>
        <v>0</v>
      </c>
      <c r="P52" s="11" t="n">
        <f aca="false">ROUND(O52*N52,2)</f>
        <v>0</v>
      </c>
      <c r="Q52" s="11" t="n">
        <f aca="false">IF(AND(G52="entrada",K52="PENDENTE"),ROUND(F52*00_PARAMETROS!$B$12,2),0)</f>
        <v>0</v>
      </c>
      <c r="R52" s="11" t="n">
        <f aca="false">IF(AND(G52="entrada",K52="PENDENTE"),ROUND(F52*00_PARAMETROS!$B$13,2),0)</f>
        <v>0</v>
      </c>
      <c r="S52" s="24" t="n">
        <f aca="false">IF(P52+Q52&gt;0,SUMIFS(SELIC!$B$4:$B$96,SELIC!$A$4:$A$96,"&gt;="&amp;DATE(YEAR(B52),MONTH(B52)+1,1),SELIC!$A$4:$A$96,"&lt;="&amp;DATE(YEAR(00_PARAMETROS!$B$4),MONTH(00_PARAMETROS!$B$4)-1,1))+00_PARAMETROS!$B$11,0)</f>
        <v>0</v>
      </c>
      <c r="T52" s="24" t="n">
        <f aca="false">IF(P52+Q52&gt;0,MIN(00_PARAMETROS!$B$9,00_PARAMETROS!$B$8*MAX(0,00_PARAMETROS!$B$4-B52)),0)</f>
        <v>0</v>
      </c>
      <c r="U52" s="11" t="n">
        <f aca="false">ROUND(P52*(1+S52+T52),2)</f>
        <v>0</v>
      </c>
      <c r="V52" s="11" t="n">
        <f aca="false">ROUND(Q52*(1+S52+T52),2)</f>
        <v>0</v>
      </c>
      <c r="W52" s="11" t="n">
        <f aca="false">ROUND(R52*(1+S52+T52),2)</f>
        <v>0</v>
      </c>
      <c r="X52" s="10"/>
    </row>
    <row r="53" customFormat="false" ht="32.8" hidden="false" customHeight="false" outlineLevel="0" collapsed="false">
      <c r="A53" s="10" t="n">
        <v>49</v>
      </c>
      <c r="B53" s="19" t="n">
        <v>45705</v>
      </c>
      <c r="C53" s="21" t="n">
        <f aca="false">YEAR(B53)</f>
        <v>2025</v>
      </c>
      <c r="D53" s="10" t="s">
        <v>245</v>
      </c>
      <c r="E53" s="10" t="s">
        <v>145</v>
      </c>
      <c r="F53" s="11" t="n">
        <v>-400</v>
      </c>
      <c r="G53" s="10" t="s">
        <v>181</v>
      </c>
      <c r="H53" s="10" t="s">
        <v>187</v>
      </c>
      <c r="I53" s="10" t="s">
        <v>230</v>
      </c>
      <c r="J53" s="10" t="s">
        <v>188</v>
      </c>
      <c r="K53" s="22" t="s">
        <v>184</v>
      </c>
      <c r="L53" s="10" t="str">
        <f aca="false">IF(AND(G53="entrada",F53&gt;=00_PARAMETROS!$B$7),"SIM","NÃO")</f>
        <v>NÃO</v>
      </c>
      <c r="M53" s="23"/>
      <c r="N53" s="24" t="n">
        <f aca="false">IFERROR(INDEX(00_PARAMETROS!$B$41:$B$54,MATCH(K53,00_PARAMETROS!$A$41:$A$54,0)),0)</f>
        <v>0</v>
      </c>
      <c r="O53" s="11" t="n">
        <f aca="false">IF(OR(G53&lt;&gt;"entrada",N53=0),0,IF(K53="VENDA_BEM_BR_GCAP",N(M53),F53))</f>
        <v>0</v>
      </c>
      <c r="P53" s="11" t="n">
        <f aca="false">ROUND(O53*N53,2)</f>
        <v>0</v>
      </c>
      <c r="Q53" s="11" t="n">
        <f aca="false">IF(AND(G53="entrada",K53="PENDENTE"),ROUND(F53*00_PARAMETROS!$B$12,2),0)</f>
        <v>0</v>
      </c>
      <c r="R53" s="11" t="n">
        <f aca="false">IF(AND(G53="entrada",K53="PENDENTE"),ROUND(F53*00_PARAMETROS!$B$13,2),0)</f>
        <v>0</v>
      </c>
      <c r="S53" s="24" t="n">
        <f aca="false">IF(P53+Q53&gt;0,SUMIFS(SELIC!$B$4:$B$96,SELIC!$A$4:$A$96,"&gt;="&amp;DATE(YEAR(B53),MONTH(B53)+1,1),SELIC!$A$4:$A$96,"&lt;="&amp;DATE(YEAR(00_PARAMETROS!$B$4),MONTH(00_PARAMETROS!$B$4)-1,1))+00_PARAMETROS!$B$11,0)</f>
        <v>0</v>
      </c>
      <c r="T53" s="24" t="n">
        <f aca="false">IF(P53+Q53&gt;0,MIN(00_PARAMETROS!$B$9,00_PARAMETROS!$B$8*MAX(0,00_PARAMETROS!$B$4-B53)),0)</f>
        <v>0</v>
      </c>
      <c r="U53" s="11" t="n">
        <f aca="false">ROUND(P53*(1+S53+T53),2)</f>
        <v>0</v>
      </c>
      <c r="V53" s="11" t="n">
        <f aca="false">ROUND(Q53*(1+S53+T53),2)</f>
        <v>0</v>
      </c>
      <c r="W53" s="11" t="n">
        <f aca="false">ROUND(R53*(1+S53+T53),2)</f>
        <v>0</v>
      </c>
      <c r="X53" s="10"/>
    </row>
    <row r="54" customFormat="false" ht="32.8" hidden="false" customHeight="false" outlineLevel="0" collapsed="false">
      <c r="A54" s="10" t="n">
        <v>50</v>
      </c>
      <c r="B54" s="19" t="n">
        <v>45707</v>
      </c>
      <c r="C54" s="21" t="n">
        <f aca="false">YEAR(B54)</f>
        <v>2025</v>
      </c>
      <c r="D54" s="10" t="s">
        <v>246</v>
      </c>
      <c r="E54" s="10" t="s">
        <v>247</v>
      </c>
      <c r="F54" s="11" t="n">
        <v>-1067</v>
      </c>
      <c r="G54" s="10" t="s">
        <v>181</v>
      </c>
      <c r="H54" s="10" t="s">
        <v>187</v>
      </c>
      <c r="I54" s="10" t="s">
        <v>230</v>
      </c>
      <c r="J54" s="10" t="s">
        <v>188</v>
      </c>
      <c r="K54" s="22" t="s">
        <v>184</v>
      </c>
      <c r="L54" s="10" t="str">
        <f aca="false">IF(AND(G54="entrada",F54&gt;=00_PARAMETROS!$B$7),"SIM","NÃO")</f>
        <v>NÃO</v>
      </c>
      <c r="M54" s="23"/>
      <c r="N54" s="24" t="n">
        <f aca="false">IFERROR(INDEX(00_PARAMETROS!$B$41:$B$54,MATCH(K54,00_PARAMETROS!$A$41:$A$54,0)),0)</f>
        <v>0</v>
      </c>
      <c r="O54" s="11" t="n">
        <f aca="false">IF(OR(G54&lt;&gt;"entrada",N54=0),0,IF(K54="VENDA_BEM_BR_GCAP",N(M54),F54))</f>
        <v>0</v>
      </c>
      <c r="P54" s="11" t="n">
        <f aca="false">ROUND(O54*N54,2)</f>
        <v>0</v>
      </c>
      <c r="Q54" s="11" t="n">
        <f aca="false">IF(AND(G54="entrada",K54="PENDENTE"),ROUND(F54*00_PARAMETROS!$B$12,2),0)</f>
        <v>0</v>
      </c>
      <c r="R54" s="11" t="n">
        <f aca="false">IF(AND(G54="entrada",K54="PENDENTE"),ROUND(F54*00_PARAMETROS!$B$13,2),0)</f>
        <v>0</v>
      </c>
      <c r="S54" s="24" t="n">
        <f aca="false">IF(P54+Q54&gt;0,SUMIFS(SELIC!$B$4:$B$96,SELIC!$A$4:$A$96,"&gt;="&amp;DATE(YEAR(B54),MONTH(B54)+1,1),SELIC!$A$4:$A$96,"&lt;="&amp;DATE(YEAR(00_PARAMETROS!$B$4),MONTH(00_PARAMETROS!$B$4)-1,1))+00_PARAMETROS!$B$11,0)</f>
        <v>0</v>
      </c>
      <c r="T54" s="24" t="n">
        <f aca="false">IF(P54+Q54&gt;0,MIN(00_PARAMETROS!$B$9,00_PARAMETROS!$B$8*MAX(0,00_PARAMETROS!$B$4-B54)),0)</f>
        <v>0</v>
      </c>
      <c r="U54" s="11" t="n">
        <f aca="false">ROUND(P54*(1+S54+T54),2)</f>
        <v>0</v>
      </c>
      <c r="V54" s="11" t="n">
        <f aca="false">ROUND(Q54*(1+S54+T54),2)</f>
        <v>0</v>
      </c>
      <c r="W54" s="11" t="n">
        <f aca="false">ROUND(R54*(1+S54+T54),2)</f>
        <v>0</v>
      </c>
      <c r="X54" s="10"/>
    </row>
    <row r="55" customFormat="false" ht="22.35" hidden="false" customHeight="false" outlineLevel="0" collapsed="false">
      <c r="A55" s="10" t="n">
        <v>51</v>
      </c>
      <c r="B55" s="19" t="n">
        <v>45708</v>
      </c>
      <c r="C55" s="21" t="n">
        <f aca="false">YEAR(B55)</f>
        <v>2025</v>
      </c>
      <c r="D55" s="10" t="s">
        <v>248</v>
      </c>
      <c r="E55" s="10" t="s">
        <v>249</v>
      </c>
      <c r="F55" s="11" t="n">
        <v>-2800</v>
      </c>
      <c r="G55" s="10" t="s">
        <v>181</v>
      </c>
      <c r="H55" s="10" t="s">
        <v>187</v>
      </c>
      <c r="I55" s="10" t="s">
        <v>230</v>
      </c>
      <c r="J55" s="10" t="s">
        <v>188</v>
      </c>
      <c r="K55" s="22" t="s">
        <v>184</v>
      </c>
      <c r="L55" s="10" t="str">
        <f aca="false">IF(AND(G55="entrada",F55&gt;=00_PARAMETROS!$B$7),"SIM","NÃO")</f>
        <v>NÃO</v>
      </c>
      <c r="M55" s="23"/>
      <c r="N55" s="24" t="n">
        <f aca="false">IFERROR(INDEX(00_PARAMETROS!$B$41:$B$54,MATCH(K55,00_PARAMETROS!$A$41:$A$54,0)),0)</f>
        <v>0</v>
      </c>
      <c r="O55" s="11" t="n">
        <f aca="false">IF(OR(G55&lt;&gt;"entrada",N55=0),0,IF(K55="VENDA_BEM_BR_GCAP",N(M55),F55))</f>
        <v>0</v>
      </c>
      <c r="P55" s="11" t="n">
        <f aca="false">ROUND(O55*N55,2)</f>
        <v>0</v>
      </c>
      <c r="Q55" s="11" t="n">
        <f aca="false">IF(AND(G55="entrada",K55="PENDENTE"),ROUND(F55*00_PARAMETROS!$B$12,2),0)</f>
        <v>0</v>
      </c>
      <c r="R55" s="11" t="n">
        <f aca="false">IF(AND(G55="entrada",K55="PENDENTE"),ROUND(F55*00_PARAMETROS!$B$13,2),0)</f>
        <v>0</v>
      </c>
      <c r="S55" s="24" t="n">
        <f aca="false">IF(P55+Q55&gt;0,SUMIFS(SELIC!$B$4:$B$96,SELIC!$A$4:$A$96,"&gt;="&amp;DATE(YEAR(B55),MONTH(B55)+1,1),SELIC!$A$4:$A$96,"&lt;="&amp;DATE(YEAR(00_PARAMETROS!$B$4),MONTH(00_PARAMETROS!$B$4)-1,1))+00_PARAMETROS!$B$11,0)</f>
        <v>0</v>
      </c>
      <c r="T55" s="24" t="n">
        <f aca="false">IF(P55+Q55&gt;0,MIN(00_PARAMETROS!$B$9,00_PARAMETROS!$B$8*MAX(0,00_PARAMETROS!$B$4-B55)),0)</f>
        <v>0</v>
      </c>
      <c r="U55" s="11" t="n">
        <f aca="false">ROUND(P55*(1+S55+T55),2)</f>
        <v>0</v>
      </c>
      <c r="V55" s="11" t="n">
        <f aca="false">ROUND(Q55*(1+S55+T55),2)</f>
        <v>0</v>
      </c>
      <c r="W55" s="11" t="n">
        <f aca="false">ROUND(R55*(1+S55+T55),2)</f>
        <v>0</v>
      </c>
      <c r="X55" s="10"/>
    </row>
    <row r="56" customFormat="false" ht="32.8" hidden="false" customHeight="false" outlineLevel="0" collapsed="false">
      <c r="A56" s="10" t="n">
        <v>52</v>
      </c>
      <c r="B56" s="19" t="n">
        <v>45709</v>
      </c>
      <c r="C56" s="21" t="n">
        <f aca="false">YEAR(B56)</f>
        <v>2025</v>
      </c>
      <c r="D56" s="10" t="s">
        <v>250</v>
      </c>
      <c r="E56" s="10" t="s">
        <v>140</v>
      </c>
      <c r="F56" s="11" t="n">
        <v>40000</v>
      </c>
      <c r="G56" s="10" t="s">
        <v>175</v>
      </c>
      <c r="H56" s="10" t="s">
        <v>187</v>
      </c>
      <c r="I56" s="10" t="s">
        <v>230</v>
      </c>
      <c r="J56" s="25" t="s">
        <v>190</v>
      </c>
      <c r="K56" s="22" t="s">
        <v>191</v>
      </c>
      <c r="L56" s="10" t="str">
        <f aca="false">IF(AND(G56="entrada",F56&gt;=00_PARAMETROS!$B$7),"SIM","NÃO")</f>
        <v>SIM</v>
      </c>
      <c r="M56" s="23"/>
      <c r="N56" s="24" t="n">
        <f aca="false">IFERROR(INDEX(00_PARAMETROS!$B$41:$B$54,MATCH(K56,00_PARAMETROS!$A$41:$A$54,0)),0)</f>
        <v>0</v>
      </c>
      <c r="O56" s="11" t="n">
        <f aca="false">IF(OR(G56&lt;&gt;"entrada",N56=0),0,IF(K56="VENDA_BEM_BR_GCAP",N(M56),F56))</f>
        <v>0</v>
      </c>
      <c r="P56" s="11" t="n">
        <f aca="false">ROUND(O56*N56,2)</f>
        <v>0</v>
      </c>
      <c r="Q56" s="11" t="n">
        <f aca="false">IF(AND(G56="entrada",K56="PENDENTE"),ROUND(F56*00_PARAMETROS!$B$12,2),0)</f>
        <v>6000</v>
      </c>
      <c r="R56" s="11" t="n">
        <f aca="false">IF(AND(G56="entrada",K56="PENDENTE"),ROUND(F56*00_PARAMETROS!$B$13,2),0)</f>
        <v>10000</v>
      </c>
      <c r="S56" s="24" t="n">
        <f aca="false">IF(P56+Q56&gt;0,SUMIFS(SELIC!$B$4:$B$96,SELIC!$A$4:$A$96,"&gt;="&amp;DATE(YEAR(B56),MONTH(B56)+1,1),SELIC!$A$4:$A$96,"&lt;="&amp;DATE(YEAR(00_PARAMETROS!$B$4),MONTH(00_PARAMETROS!$B$4)-1,1))+00_PARAMETROS!$B$11,0)</f>
        <v>0.2143</v>
      </c>
      <c r="T56" s="24" t="n">
        <f aca="false">IF(P56+Q56&gt;0,MIN(00_PARAMETROS!$B$9,00_PARAMETROS!$B$8*MAX(0,00_PARAMETROS!$B$4-B56)),0)</f>
        <v>0.2</v>
      </c>
      <c r="U56" s="11" t="n">
        <f aca="false">ROUND(P56*(1+S56+T56),2)</f>
        <v>0</v>
      </c>
      <c r="V56" s="11" t="n">
        <f aca="false">ROUND(Q56*(1+S56+T56),2)</f>
        <v>8485.8</v>
      </c>
      <c r="W56" s="11" t="n">
        <f aca="false">ROUND(R56*(1+S56+T56),2)</f>
        <v>14143</v>
      </c>
      <c r="X56" s="10"/>
    </row>
    <row r="57" customFormat="false" ht="32.8" hidden="false" customHeight="false" outlineLevel="0" collapsed="false">
      <c r="A57" s="10" t="n">
        <v>53</v>
      </c>
      <c r="B57" s="19" t="n">
        <v>45709</v>
      </c>
      <c r="C57" s="21" t="n">
        <f aca="false">YEAR(B57)</f>
        <v>2025</v>
      </c>
      <c r="D57" s="10" t="s">
        <v>251</v>
      </c>
      <c r="E57" s="10" t="s">
        <v>135</v>
      </c>
      <c r="F57" s="11" t="n">
        <v>-100</v>
      </c>
      <c r="G57" s="10" t="s">
        <v>181</v>
      </c>
      <c r="H57" s="10" t="s">
        <v>187</v>
      </c>
      <c r="I57" s="10" t="s">
        <v>230</v>
      </c>
      <c r="J57" s="10" t="s">
        <v>188</v>
      </c>
      <c r="K57" s="22" t="s">
        <v>184</v>
      </c>
      <c r="L57" s="10" t="str">
        <f aca="false">IF(AND(G57="entrada",F57&gt;=00_PARAMETROS!$B$7),"SIM","NÃO")</f>
        <v>NÃO</v>
      </c>
      <c r="M57" s="23"/>
      <c r="N57" s="24" t="n">
        <f aca="false">IFERROR(INDEX(00_PARAMETROS!$B$41:$B$54,MATCH(K57,00_PARAMETROS!$A$41:$A$54,0)),0)</f>
        <v>0</v>
      </c>
      <c r="O57" s="11" t="n">
        <f aca="false">IF(OR(G57&lt;&gt;"entrada",N57=0),0,IF(K57="VENDA_BEM_BR_GCAP",N(M57),F57))</f>
        <v>0</v>
      </c>
      <c r="P57" s="11" t="n">
        <f aca="false">ROUND(O57*N57,2)</f>
        <v>0</v>
      </c>
      <c r="Q57" s="11" t="n">
        <f aca="false">IF(AND(G57="entrada",K57="PENDENTE"),ROUND(F57*00_PARAMETROS!$B$12,2),0)</f>
        <v>0</v>
      </c>
      <c r="R57" s="11" t="n">
        <f aca="false">IF(AND(G57="entrada",K57="PENDENTE"),ROUND(F57*00_PARAMETROS!$B$13,2),0)</f>
        <v>0</v>
      </c>
      <c r="S57" s="24" t="n">
        <f aca="false">IF(P57+Q57&gt;0,SUMIFS(SELIC!$B$4:$B$96,SELIC!$A$4:$A$96,"&gt;="&amp;DATE(YEAR(B57),MONTH(B57)+1,1),SELIC!$A$4:$A$96,"&lt;="&amp;DATE(YEAR(00_PARAMETROS!$B$4),MONTH(00_PARAMETROS!$B$4)-1,1))+00_PARAMETROS!$B$11,0)</f>
        <v>0</v>
      </c>
      <c r="T57" s="24" t="n">
        <f aca="false">IF(P57+Q57&gt;0,MIN(00_PARAMETROS!$B$9,00_PARAMETROS!$B$8*MAX(0,00_PARAMETROS!$B$4-B57)),0)</f>
        <v>0</v>
      </c>
      <c r="U57" s="11" t="n">
        <f aca="false">ROUND(P57*(1+S57+T57),2)</f>
        <v>0</v>
      </c>
      <c r="V57" s="11" t="n">
        <f aca="false">ROUND(Q57*(1+S57+T57),2)</f>
        <v>0</v>
      </c>
      <c r="W57" s="11" t="n">
        <f aca="false">ROUND(R57*(1+S57+T57),2)</f>
        <v>0</v>
      </c>
      <c r="X57" s="10"/>
    </row>
    <row r="58" customFormat="false" ht="32.8" hidden="false" customHeight="false" outlineLevel="0" collapsed="false">
      <c r="A58" s="10" t="n">
        <v>54</v>
      </c>
      <c r="B58" s="19" t="n">
        <v>45709</v>
      </c>
      <c r="C58" s="21" t="n">
        <f aca="false">YEAR(B58)</f>
        <v>2025</v>
      </c>
      <c r="D58" s="10" t="s">
        <v>252</v>
      </c>
      <c r="E58" s="10" t="s">
        <v>253</v>
      </c>
      <c r="F58" s="11" t="n">
        <v>-1071.6</v>
      </c>
      <c r="G58" s="10" t="s">
        <v>181</v>
      </c>
      <c r="H58" s="10" t="s">
        <v>187</v>
      </c>
      <c r="I58" s="10" t="s">
        <v>230</v>
      </c>
      <c r="J58" s="10" t="s">
        <v>188</v>
      </c>
      <c r="K58" s="22" t="s">
        <v>184</v>
      </c>
      <c r="L58" s="10" t="str">
        <f aca="false">IF(AND(G58="entrada",F58&gt;=00_PARAMETROS!$B$7),"SIM","NÃO")</f>
        <v>NÃO</v>
      </c>
      <c r="M58" s="23"/>
      <c r="N58" s="24" t="n">
        <f aca="false">IFERROR(INDEX(00_PARAMETROS!$B$41:$B$54,MATCH(K58,00_PARAMETROS!$A$41:$A$54,0)),0)</f>
        <v>0</v>
      </c>
      <c r="O58" s="11" t="n">
        <f aca="false">IF(OR(G58&lt;&gt;"entrada",N58=0),0,IF(K58="VENDA_BEM_BR_GCAP",N(M58),F58))</f>
        <v>0</v>
      </c>
      <c r="P58" s="11" t="n">
        <f aca="false">ROUND(O58*N58,2)</f>
        <v>0</v>
      </c>
      <c r="Q58" s="11" t="n">
        <f aca="false">IF(AND(G58="entrada",K58="PENDENTE"),ROUND(F58*00_PARAMETROS!$B$12,2),0)</f>
        <v>0</v>
      </c>
      <c r="R58" s="11" t="n">
        <f aca="false">IF(AND(G58="entrada",K58="PENDENTE"),ROUND(F58*00_PARAMETROS!$B$13,2),0)</f>
        <v>0</v>
      </c>
      <c r="S58" s="24" t="n">
        <f aca="false">IF(P58+Q58&gt;0,SUMIFS(SELIC!$B$4:$B$96,SELIC!$A$4:$A$96,"&gt;="&amp;DATE(YEAR(B58),MONTH(B58)+1,1),SELIC!$A$4:$A$96,"&lt;="&amp;DATE(YEAR(00_PARAMETROS!$B$4),MONTH(00_PARAMETROS!$B$4)-1,1))+00_PARAMETROS!$B$11,0)</f>
        <v>0</v>
      </c>
      <c r="T58" s="24" t="n">
        <f aca="false">IF(P58+Q58&gt;0,MIN(00_PARAMETROS!$B$9,00_PARAMETROS!$B$8*MAX(0,00_PARAMETROS!$B$4-B58)),0)</f>
        <v>0</v>
      </c>
      <c r="U58" s="11" t="n">
        <f aca="false">ROUND(P58*(1+S58+T58),2)</f>
        <v>0</v>
      </c>
      <c r="V58" s="11" t="n">
        <f aca="false">ROUND(Q58*(1+S58+T58),2)</f>
        <v>0</v>
      </c>
      <c r="W58" s="11" t="n">
        <f aca="false">ROUND(R58*(1+S58+T58),2)</f>
        <v>0</v>
      </c>
      <c r="X58" s="10"/>
    </row>
    <row r="59" customFormat="false" ht="43.25" hidden="false" customHeight="false" outlineLevel="0" collapsed="false">
      <c r="A59" s="10" t="n">
        <v>55</v>
      </c>
      <c r="B59" s="19" t="n">
        <v>45709</v>
      </c>
      <c r="C59" s="21" t="n">
        <f aca="false">YEAR(B59)</f>
        <v>2025</v>
      </c>
      <c r="D59" s="10" t="s">
        <v>254</v>
      </c>
      <c r="E59" s="10" t="s">
        <v>253</v>
      </c>
      <c r="F59" s="11" t="n">
        <v>-3268.14</v>
      </c>
      <c r="G59" s="10" t="s">
        <v>181</v>
      </c>
      <c r="H59" s="10" t="s">
        <v>187</v>
      </c>
      <c r="I59" s="10" t="s">
        <v>230</v>
      </c>
      <c r="J59" s="10" t="s">
        <v>188</v>
      </c>
      <c r="K59" s="22" t="s">
        <v>184</v>
      </c>
      <c r="L59" s="10" t="str">
        <f aca="false">IF(AND(G59="entrada",F59&gt;=00_PARAMETROS!$B$7),"SIM","NÃO")</f>
        <v>NÃO</v>
      </c>
      <c r="M59" s="23"/>
      <c r="N59" s="24" t="n">
        <f aca="false">IFERROR(INDEX(00_PARAMETROS!$B$41:$B$54,MATCH(K59,00_PARAMETROS!$A$41:$A$54,0)),0)</f>
        <v>0</v>
      </c>
      <c r="O59" s="11" t="n">
        <f aca="false">IF(OR(G59&lt;&gt;"entrada",N59=0),0,IF(K59="VENDA_BEM_BR_GCAP",N(M59),F59))</f>
        <v>0</v>
      </c>
      <c r="P59" s="11" t="n">
        <f aca="false">ROUND(O59*N59,2)</f>
        <v>0</v>
      </c>
      <c r="Q59" s="11" t="n">
        <f aca="false">IF(AND(G59="entrada",K59="PENDENTE"),ROUND(F59*00_PARAMETROS!$B$12,2),0)</f>
        <v>0</v>
      </c>
      <c r="R59" s="11" t="n">
        <f aca="false">IF(AND(G59="entrada",K59="PENDENTE"),ROUND(F59*00_PARAMETROS!$B$13,2),0)</f>
        <v>0</v>
      </c>
      <c r="S59" s="24" t="n">
        <f aca="false">IF(P59+Q59&gt;0,SUMIFS(SELIC!$B$4:$B$96,SELIC!$A$4:$A$96,"&gt;="&amp;DATE(YEAR(B59),MONTH(B59)+1,1),SELIC!$A$4:$A$96,"&lt;="&amp;DATE(YEAR(00_PARAMETROS!$B$4),MONTH(00_PARAMETROS!$B$4)-1,1))+00_PARAMETROS!$B$11,0)</f>
        <v>0</v>
      </c>
      <c r="T59" s="24" t="n">
        <f aca="false">IF(P59+Q59&gt;0,MIN(00_PARAMETROS!$B$9,00_PARAMETROS!$B$8*MAX(0,00_PARAMETROS!$B$4-B59)),0)</f>
        <v>0</v>
      </c>
      <c r="U59" s="11" t="n">
        <f aca="false">ROUND(P59*(1+S59+T59),2)</f>
        <v>0</v>
      </c>
      <c r="V59" s="11" t="n">
        <f aca="false">ROUND(Q59*(1+S59+T59),2)</f>
        <v>0</v>
      </c>
      <c r="W59" s="11" t="n">
        <f aca="false">ROUND(R59*(1+S59+T59),2)</f>
        <v>0</v>
      </c>
      <c r="X59" s="10"/>
    </row>
    <row r="60" customFormat="false" ht="32.8" hidden="false" customHeight="false" outlineLevel="0" collapsed="false">
      <c r="A60" s="10" t="n">
        <v>56</v>
      </c>
      <c r="B60" s="19" t="n">
        <v>45711</v>
      </c>
      <c r="C60" s="21" t="n">
        <f aca="false">YEAR(B60)</f>
        <v>2025</v>
      </c>
      <c r="D60" s="10" t="s">
        <v>255</v>
      </c>
      <c r="E60" s="10" t="s">
        <v>135</v>
      </c>
      <c r="F60" s="11" t="n">
        <v>-6000</v>
      </c>
      <c r="G60" s="10" t="s">
        <v>181</v>
      </c>
      <c r="H60" s="10" t="s">
        <v>187</v>
      </c>
      <c r="I60" s="10" t="s">
        <v>230</v>
      </c>
      <c r="J60" s="10" t="s">
        <v>188</v>
      </c>
      <c r="K60" s="22" t="s">
        <v>184</v>
      </c>
      <c r="L60" s="10" t="str">
        <f aca="false">IF(AND(G60="entrada",F60&gt;=00_PARAMETROS!$B$7),"SIM","NÃO")</f>
        <v>NÃO</v>
      </c>
      <c r="M60" s="23"/>
      <c r="N60" s="24" t="n">
        <f aca="false">IFERROR(INDEX(00_PARAMETROS!$B$41:$B$54,MATCH(K60,00_PARAMETROS!$A$41:$A$54,0)),0)</f>
        <v>0</v>
      </c>
      <c r="O60" s="11" t="n">
        <f aca="false">IF(OR(G60&lt;&gt;"entrada",N60=0),0,IF(K60="VENDA_BEM_BR_GCAP",N(M60),F60))</f>
        <v>0</v>
      </c>
      <c r="P60" s="11" t="n">
        <f aca="false">ROUND(O60*N60,2)</f>
        <v>0</v>
      </c>
      <c r="Q60" s="11" t="n">
        <f aca="false">IF(AND(G60="entrada",K60="PENDENTE"),ROUND(F60*00_PARAMETROS!$B$12,2),0)</f>
        <v>0</v>
      </c>
      <c r="R60" s="11" t="n">
        <f aca="false">IF(AND(G60="entrada",K60="PENDENTE"),ROUND(F60*00_PARAMETROS!$B$13,2),0)</f>
        <v>0</v>
      </c>
      <c r="S60" s="24" t="n">
        <f aca="false">IF(P60+Q60&gt;0,SUMIFS(SELIC!$B$4:$B$96,SELIC!$A$4:$A$96,"&gt;="&amp;DATE(YEAR(B60),MONTH(B60)+1,1),SELIC!$A$4:$A$96,"&lt;="&amp;DATE(YEAR(00_PARAMETROS!$B$4),MONTH(00_PARAMETROS!$B$4)-1,1))+00_PARAMETROS!$B$11,0)</f>
        <v>0</v>
      </c>
      <c r="T60" s="24" t="n">
        <f aca="false">IF(P60+Q60&gt;0,MIN(00_PARAMETROS!$B$9,00_PARAMETROS!$B$8*MAX(0,00_PARAMETROS!$B$4-B60)),0)</f>
        <v>0</v>
      </c>
      <c r="U60" s="11" t="n">
        <f aca="false">ROUND(P60*(1+S60+T60),2)</f>
        <v>0</v>
      </c>
      <c r="V60" s="11" t="n">
        <f aca="false">ROUND(Q60*(1+S60+T60),2)</f>
        <v>0</v>
      </c>
      <c r="W60" s="11" t="n">
        <f aca="false">ROUND(R60*(1+S60+T60),2)</f>
        <v>0</v>
      </c>
      <c r="X60" s="10"/>
    </row>
    <row r="61" customFormat="false" ht="22.35" hidden="false" customHeight="false" outlineLevel="0" collapsed="false">
      <c r="A61" s="10" t="n">
        <v>57</v>
      </c>
      <c r="B61" s="19" t="n">
        <v>45810</v>
      </c>
      <c r="C61" s="21" t="n">
        <f aca="false">YEAR(B61)</f>
        <v>2025</v>
      </c>
      <c r="D61" s="10" t="s">
        <v>256</v>
      </c>
      <c r="E61" s="10" t="s">
        <v>256</v>
      </c>
      <c r="F61" s="11" t="n">
        <v>250</v>
      </c>
      <c r="G61" s="10" t="s">
        <v>175</v>
      </c>
      <c r="H61" s="10" t="s">
        <v>182</v>
      </c>
      <c r="I61" s="10" t="s">
        <v>257</v>
      </c>
      <c r="J61" s="10" t="s">
        <v>258</v>
      </c>
      <c r="K61" s="22" t="s">
        <v>259</v>
      </c>
      <c r="L61" s="10" t="str">
        <f aca="false">IF(AND(G61="entrada",F61&gt;=00_PARAMETROS!$B$7),"SIM","NÃO")</f>
        <v>NÃO</v>
      </c>
      <c r="M61" s="23"/>
      <c r="N61" s="24" t="n">
        <f aca="false">IFERROR(INDEX(00_PARAMETROS!$B$41:$B$54,MATCH(K61,00_PARAMETROS!$A$41:$A$54,0)),0)</f>
        <v>0</v>
      </c>
      <c r="O61" s="11" t="n">
        <f aca="false">IF(OR(G61&lt;&gt;"entrada",N61=0),0,IF(K61="VENDA_BEM_BR_GCAP",N(M61),F61))</f>
        <v>0</v>
      </c>
      <c r="P61" s="11" t="n">
        <f aca="false">ROUND(O61*N61,2)</f>
        <v>0</v>
      </c>
      <c r="Q61" s="11" t="n">
        <f aca="false">IF(AND(G61="entrada",K61="PENDENTE"),ROUND(F61*00_PARAMETROS!$B$12,2),0)</f>
        <v>0</v>
      </c>
      <c r="R61" s="11" t="n">
        <f aca="false">IF(AND(G61="entrada",K61="PENDENTE"),ROUND(F61*00_PARAMETROS!$B$13,2),0)</f>
        <v>0</v>
      </c>
      <c r="S61" s="24" t="n">
        <f aca="false">IF(P61+Q61&gt;0,SUMIFS(SELIC!$B$4:$B$96,SELIC!$A$4:$A$96,"&gt;="&amp;DATE(YEAR(B61),MONTH(B61)+1,1),SELIC!$A$4:$A$96,"&lt;="&amp;DATE(YEAR(00_PARAMETROS!$B$4),MONTH(00_PARAMETROS!$B$4)-1,1))+00_PARAMETROS!$B$11,0)</f>
        <v>0</v>
      </c>
      <c r="T61" s="24" t="n">
        <f aca="false">IF(P61+Q61&gt;0,MIN(00_PARAMETROS!$B$9,00_PARAMETROS!$B$8*MAX(0,00_PARAMETROS!$B$4-B61)),0)</f>
        <v>0</v>
      </c>
      <c r="U61" s="11" t="n">
        <f aca="false">ROUND(P61*(1+S61+T61),2)</f>
        <v>0</v>
      </c>
      <c r="V61" s="11" t="n">
        <f aca="false">ROUND(Q61*(1+S61+T61),2)</f>
        <v>0</v>
      </c>
      <c r="W61" s="11" t="n">
        <f aca="false">ROUND(R61*(1+S61+T61),2)</f>
        <v>0</v>
      </c>
      <c r="X61" s="10"/>
    </row>
    <row r="62" customFormat="false" ht="32.8" hidden="false" customHeight="false" outlineLevel="0" collapsed="false">
      <c r="A62" s="10" t="n">
        <v>58</v>
      </c>
      <c r="B62" s="19" t="n">
        <v>45810</v>
      </c>
      <c r="C62" s="21" t="n">
        <f aca="false">YEAR(B62)</f>
        <v>2025</v>
      </c>
      <c r="D62" s="10" t="s">
        <v>201</v>
      </c>
      <c r="E62" s="10" t="s">
        <v>202</v>
      </c>
      <c r="F62" s="11" t="n">
        <v>-250</v>
      </c>
      <c r="G62" s="10" t="s">
        <v>181</v>
      </c>
      <c r="H62" s="10" t="s">
        <v>187</v>
      </c>
      <c r="I62" s="10" t="s">
        <v>257</v>
      </c>
      <c r="J62" s="10" t="s">
        <v>188</v>
      </c>
      <c r="K62" s="22" t="s">
        <v>184</v>
      </c>
      <c r="L62" s="10" t="str">
        <f aca="false">IF(AND(G62="entrada",F62&gt;=00_PARAMETROS!$B$7),"SIM","NÃO")</f>
        <v>NÃO</v>
      </c>
      <c r="M62" s="23"/>
      <c r="N62" s="24" t="n">
        <f aca="false">IFERROR(INDEX(00_PARAMETROS!$B$41:$B$54,MATCH(K62,00_PARAMETROS!$A$41:$A$54,0)),0)</f>
        <v>0</v>
      </c>
      <c r="O62" s="11" t="n">
        <f aca="false">IF(OR(G62&lt;&gt;"entrada",N62=0),0,IF(K62="VENDA_BEM_BR_GCAP",N(M62),F62))</f>
        <v>0</v>
      </c>
      <c r="P62" s="11" t="n">
        <f aca="false">ROUND(O62*N62,2)</f>
        <v>0</v>
      </c>
      <c r="Q62" s="11" t="n">
        <f aca="false">IF(AND(G62="entrada",K62="PENDENTE"),ROUND(F62*00_PARAMETROS!$B$12,2),0)</f>
        <v>0</v>
      </c>
      <c r="R62" s="11" t="n">
        <f aca="false">IF(AND(G62="entrada",K62="PENDENTE"),ROUND(F62*00_PARAMETROS!$B$13,2),0)</f>
        <v>0</v>
      </c>
      <c r="S62" s="24" t="n">
        <f aca="false">IF(P62+Q62&gt;0,SUMIFS(SELIC!$B$4:$B$96,SELIC!$A$4:$A$96,"&gt;="&amp;DATE(YEAR(B62),MONTH(B62)+1,1),SELIC!$A$4:$A$96,"&lt;="&amp;DATE(YEAR(00_PARAMETROS!$B$4),MONTH(00_PARAMETROS!$B$4)-1,1))+00_PARAMETROS!$B$11,0)</f>
        <v>0</v>
      </c>
      <c r="T62" s="24" t="n">
        <f aca="false">IF(P62+Q62&gt;0,MIN(00_PARAMETROS!$B$9,00_PARAMETROS!$B$8*MAX(0,00_PARAMETROS!$B$4-B62)),0)</f>
        <v>0</v>
      </c>
      <c r="U62" s="11" t="n">
        <f aca="false">ROUND(P62*(1+S62+T62),2)</f>
        <v>0</v>
      </c>
      <c r="V62" s="11" t="n">
        <f aca="false">ROUND(Q62*(1+S62+T62),2)</f>
        <v>0</v>
      </c>
      <c r="W62" s="11" t="n">
        <f aca="false">ROUND(R62*(1+S62+T62),2)</f>
        <v>0</v>
      </c>
      <c r="X62" s="10"/>
    </row>
    <row r="63" customFormat="false" ht="15" hidden="false" customHeight="false" outlineLevel="0" collapsed="false">
      <c r="A63" s="10" t="n">
        <v>59</v>
      </c>
      <c r="B63" s="19" t="n">
        <v>45812</v>
      </c>
      <c r="C63" s="21" t="n">
        <f aca="false">YEAR(B63)</f>
        <v>2025</v>
      </c>
      <c r="D63" s="10" t="s">
        <v>180</v>
      </c>
      <c r="E63" s="10" t="s">
        <v>180</v>
      </c>
      <c r="F63" s="11" t="n">
        <v>-4977</v>
      </c>
      <c r="G63" s="10" t="s">
        <v>181</v>
      </c>
      <c r="H63" s="10" t="s">
        <v>182</v>
      </c>
      <c r="I63" s="10" t="s">
        <v>257</v>
      </c>
      <c r="J63" s="10" t="s">
        <v>183</v>
      </c>
      <c r="K63" s="22" t="s">
        <v>184</v>
      </c>
      <c r="L63" s="10" t="str">
        <f aca="false">IF(AND(G63="entrada",F63&gt;=00_PARAMETROS!$B$7),"SIM","NÃO")</f>
        <v>NÃO</v>
      </c>
      <c r="M63" s="23"/>
      <c r="N63" s="24" t="n">
        <f aca="false">IFERROR(INDEX(00_PARAMETROS!$B$41:$B$54,MATCH(K63,00_PARAMETROS!$A$41:$A$54,0)),0)</f>
        <v>0</v>
      </c>
      <c r="O63" s="11" t="n">
        <f aca="false">IF(OR(G63&lt;&gt;"entrada",N63=0),0,IF(K63="VENDA_BEM_BR_GCAP",N(M63),F63))</f>
        <v>0</v>
      </c>
      <c r="P63" s="11" t="n">
        <f aca="false">ROUND(O63*N63,2)</f>
        <v>0</v>
      </c>
      <c r="Q63" s="11" t="n">
        <f aca="false">IF(AND(G63="entrada",K63="PENDENTE"),ROUND(F63*00_PARAMETROS!$B$12,2),0)</f>
        <v>0</v>
      </c>
      <c r="R63" s="11" t="n">
        <f aca="false">IF(AND(G63="entrada",K63="PENDENTE"),ROUND(F63*00_PARAMETROS!$B$13,2),0)</f>
        <v>0</v>
      </c>
      <c r="S63" s="24" t="n">
        <f aca="false">IF(P63+Q63&gt;0,SUMIFS(SELIC!$B$4:$B$96,SELIC!$A$4:$A$96,"&gt;="&amp;DATE(YEAR(B63),MONTH(B63)+1,1),SELIC!$A$4:$A$96,"&lt;="&amp;DATE(YEAR(00_PARAMETROS!$B$4),MONTH(00_PARAMETROS!$B$4)-1,1))+00_PARAMETROS!$B$11,0)</f>
        <v>0</v>
      </c>
      <c r="T63" s="24" t="n">
        <f aca="false">IF(P63+Q63&gt;0,MIN(00_PARAMETROS!$B$9,00_PARAMETROS!$B$8*MAX(0,00_PARAMETROS!$B$4-B63)),0)</f>
        <v>0</v>
      </c>
      <c r="U63" s="11" t="n">
        <f aca="false">ROUND(P63*(1+S63+T63),2)</f>
        <v>0</v>
      </c>
      <c r="V63" s="11" t="n">
        <f aca="false">ROUND(Q63*(1+S63+T63),2)</f>
        <v>0</v>
      </c>
      <c r="W63" s="11" t="n">
        <f aca="false">ROUND(R63*(1+S63+T63),2)</f>
        <v>0</v>
      </c>
      <c r="X63" s="10"/>
    </row>
    <row r="64" customFormat="false" ht="22.35" hidden="false" customHeight="false" outlineLevel="0" collapsed="false">
      <c r="A64" s="10" t="n">
        <v>60</v>
      </c>
      <c r="B64" s="19" t="n">
        <v>45822</v>
      </c>
      <c r="C64" s="21" t="n">
        <f aca="false">YEAR(B64)</f>
        <v>2025</v>
      </c>
      <c r="D64" s="10" t="s">
        <v>256</v>
      </c>
      <c r="E64" s="10" t="s">
        <v>256</v>
      </c>
      <c r="F64" s="11" t="n">
        <v>2000</v>
      </c>
      <c r="G64" s="10" t="s">
        <v>175</v>
      </c>
      <c r="H64" s="10" t="s">
        <v>182</v>
      </c>
      <c r="I64" s="10" t="s">
        <v>257</v>
      </c>
      <c r="J64" s="10" t="s">
        <v>258</v>
      </c>
      <c r="K64" s="22" t="s">
        <v>259</v>
      </c>
      <c r="L64" s="10" t="str">
        <f aca="false">IF(AND(G64="entrada",F64&gt;=00_PARAMETROS!$B$7),"SIM","NÃO")</f>
        <v>NÃO</v>
      </c>
      <c r="M64" s="23"/>
      <c r="N64" s="24" t="n">
        <f aca="false">IFERROR(INDEX(00_PARAMETROS!$B$41:$B$54,MATCH(K64,00_PARAMETROS!$A$41:$A$54,0)),0)</f>
        <v>0</v>
      </c>
      <c r="O64" s="11" t="n">
        <f aca="false">IF(OR(G64&lt;&gt;"entrada",N64=0),0,IF(K64="VENDA_BEM_BR_GCAP",N(M64),F64))</f>
        <v>0</v>
      </c>
      <c r="P64" s="11" t="n">
        <f aca="false">ROUND(O64*N64,2)</f>
        <v>0</v>
      </c>
      <c r="Q64" s="11" t="n">
        <f aca="false">IF(AND(G64="entrada",K64="PENDENTE"),ROUND(F64*00_PARAMETROS!$B$12,2),0)</f>
        <v>0</v>
      </c>
      <c r="R64" s="11" t="n">
        <f aca="false">IF(AND(G64="entrada",K64="PENDENTE"),ROUND(F64*00_PARAMETROS!$B$13,2),0)</f>
        <v>0</v>
      </c>
      <c r="S64" s="24" t="n">
        <f aca="false">IF(P64+Q64&gt;0,SUMIFS(SELIC!$B$4:$B$96,SELIC!$A$4:$A$96,"&gt;="&amp;DATE(YEAR(B64),MONTH(B64)+1,1),SELIC!$A$4:$A$96,"&lt;="&amp;DATE(YEAR(00_PARAMETROS!$B$4),MONTH(00_PARAMETROS!$B$4)-1,1))+00_PARAMETROS!$B$11,0)</f>
        <v>0</v>
      </c>
      <c r="T64" s="24" t="n">
        <f aca="false">IF(P64+Q64&gt;0,MIN(00_PARAMETROS!$B$9,00_PARAMETROS!$B$8*MAX(0,00_PARAMETROS!$B$4-B64)),0)</f>
        <v>0</v>
      </c>
      <c r="U64" s="11" t="n">
        <f aca="false">ROUND(P64*(1+S64+T64),2)</f>
        <v>0</v>
      </c>
      <c r="V64" s="11" t="n">
        <f aca="false">ROUND(Q64*(1+S64+T64),2)</f>
        <v>0</v>
      </c>
      <c r="W64" s="11" t="n">
        <f aca="false">ROUND(R64*(1+S64+T64),2)</f>
        <v>0</v>
      </c>
      <c r="X64" s="10"/>
    </row>
    <row r="65" customFormat="false" ht="22.35" hidden="false" customHeight="false" outlineLevel="0" collapsed="false">
      <c r="A65" s="10" t="n">
        <v>61</v>
      </c>
      <c r="B65" s="19" t="n">
        <v>45822</v>
      </c>
      <c r="C65" s="21" t="n">
        <f aca="false">YEAR(B65)</f>
        <v>2025</v>
      </c>
      <c r="D65" s="10" t="s">
        <v>256</v>
      </c>
      <c r="E65" s="10" t="s">
        <v>256</v>
      </c>
      <c r="F65" s="11" t="n">
        <v>650</v>
      </c>
      <c r="G65" s="10" t="s">
        <v>175</v>
      </c>
      <c r="H65" s="10" t="s">
        <v>182</v>
      </c>
      <c r="I65" s="10" t="s">
        <v>257</v>
      </c>
      <c r="J65" s="10" t="s">
        <v>258</v>
      </c>
      <c r="K65" s="22" t="s">
        <v>259</v>
      </c>
      <c r="L65" s="10" t="str">
        <f aca="false">IF(AND(G65="entrada",F65&gt;=00_PARAMETROS!$B$7),"SIM","NÃO")</f>
        <v>NÃO</v>
      </c>
      <c r="M65" s="23"/>
      <c r="N65" s="24" t="n">
        <f aca="false">IFERROR(INDEX(00_PARAMETROS!$B$41:$B$54,MATCH(K65,00_PARAMETROS!$A$41:$A$54,0)),0)</f>
        <v>0</v>
      </c>
      <c r="O65" s="11" t="n">
        <f aca="false">IF(OR(G65&lt;&gt;"entrada",N65=0),0,IF(K65="VENDA_BEM_BR_GCAP",N(M65),F65))</f>
        <v>0</v>
      </c>
      <c r="P65" s="11" t="n">
        <f aca="false">ROUND(O65*N65,2)</f>
        <v>0</v>
      </c>
      <c r="Q65" s="11" t="n">
        <f aca="false">IF(AND(G65="entrada",K65="PENDENTE"),ROUND(F65*00_PARAMETROS!$B$12,2),0)</f>
        <v>0</v>
      </c>
      <c r="R65" s="11" t="n">
        <f aca="false">IF(AND(G65="entrada",K65="PENDENTE"),ROUND(F65*00_PARAMETROS!$B$13,2),0)</f>
        <v>0</v>
      </c>
      <c r="S65" s="24" t="n">
        <f aca="false">IF(P65+Q65&gt;0,SUMIFS(SELIC!$B$4:$B$96,SELIC!$A$4:$A$96,"&gt;="&amp;DATE(YEAR(B65),MONTH(B65)+1,1),SELIC!$A$4:$A$96,"&lt;="&amp;DATE(YEAR(00_PARAMETROS!$B$4),MONTH(00_PARAMETROS!$B$4)-1,1))+00_PARAMETROS!$B$11,0)</f>
        <v>0</v>
      </c>
      <c r="T65" s="24" t="n">
        <f aca="false">IF(P65+Q65&gt;0,MIN(00_PARAMETROS!$B$9,00_PARAMETROS!$B$8*MAX(0,00_PARAMETROS!$B$4-B65)),0)</f>
        <v>0</v>
      </c>
      <c r="U65" s="11" t="n">
        <f aca="false">ROUND(P65*(1+S65+T65),2)</f>
        <v>0</v>
      </c>
      <c r="V65" s="11" t="n">
        <f aca="false">ROUND(Q65*(1+S65+T65),2)</f>
        <v>0</v>
      </c>
      <c r="W65" s="11" t="n">
        <f aca="false">ROUND(R65*(1+S65+T65),2)</f>
        <v>0</v>
      </c>
      <c r="X65" s="10"/>
    </row>
    <row r="66" customFormat="false" ht="32.8" hidden="false" customHeight="false" outlineLevel="0" collapsed="false">
      <c r="A66" s="10" t="n">
        <v>62</v>
      </c>
      <c r="B66" s="19" t="n">
        <v>45822</v>
      </c>
      <c r="C66" s="21" t="n">
        <f aca="false">YEAR(B66)</f>
        <v>2025</v>
      </c>
      <c r="D66" s="10" t="s">
        <v>260</v>
      </c>
      <c r="E66" s="10" t="s">
        <v>135</v>
      </c>
      <c r="F66" s="11" t="n">
        <v>-7000</v>
      </c>
      <c r="G66" s="10" t="s">
        <v>181</v>
      </c>
      <c r="H66" s="10" t="s">
        <v>187</v>
      </c>
      <c r="I66" s="10" t="s">
        <v>257</v>
      </c>
      <c r="J66" s="10" t="s">
        <v>188</v>
      </c>
      <c r="K66" s="22" t="s">
        <v>184</v>
      </c>
      <c r="L66" s="10" t="str">
        <f aca="false">IF(AND(G66="entrada",F66&gt;=00_PARAMETROS!$B$7),"SIM","NÃO")</f>
        <v>NÃO</v>
      </c>
      <c r="M66" s="23"/>
      <c r="N66" s="24" t="n">
        <f aca="false">IFERROR(INDEX(00_PARAMETROS!$B$41:$B$54,MATCH(K66,00_PARAMETROS!$A$41:$A$54,0)),0)</f>
        <v>0</v>
      </c>
      <c r="O66" s="11" t="n">
        <f aca="false">IF(OR(G66&lt;&gt;"entrada",N66=0),0,IF(K66="VENDA_BEM_BR_GCAP",N(M66),F66))</f>
        <v>0</v>
      </c>
      <c r="P66" s="11" t="n">
        <f aca="false">ROUND(O66*N66,2)</f>
        <v>0</v>
      </c>
      <c r="Q66" s="11" t="n">
        <f aca="false">IF(AND(G66="entrada",K66="PENDENTE"),ROUND(F66*00_PARAMETROS!$B$12,2),0)</f>
        <v>0</v>
      </c>
      <c r="R66" s="11" t="n">
        <f aca="false">IF(AND(G66="entrada",K66="PENDENTE"),ROUND(F66*00_PARAMETROS!$B$13,2),0)</f>
        <v>0</v>
      </c>
      <c r="S66" s="24" t="n">
        <f aca="false">IF(P66+Q66&gt;0,SUMIFS(SELIC!$B$4:$B$96,SELIC!$A$4:$A$96,"&gt;="&amp;DATE(YEAR(B66),MONTH(B66)+1,1),SELIC!$A$4:$A$96,"&lt;="&amp;DATE(YEAR(00_PARAMETROS!$B$4),MONTH(00_PARAMETROS!$B$4)-1,1))+00_PARAMETROS!$B$11,0)</f>
        <v>0</v>
      </c>
      <c r="T66" s="24" t="n">
        <f aca="false">IF(P66+Q66&gt;0,MIN(00_PARAMETROS!$B$9,00_PARAMETROS!$B$8*MAX(0,00_PARAMETROS!$B$4-B66)),0)</f>
        <v>0</v>
      </c>
      <c r="U66" s="11" t="n">
        <f aca="false">ROUND(P66*(1+S66+T66),2)</f>
        <v>0</v>
      </c>
      <c r="V66" s="11" t="n">
        <f aca="false">ROUND(Q66*(1+S66+T66),2)</f>
        <v>0</v>
      </c>
      <c r="W66" s="11" t="n">
        <f aca="false">ROUND(R66*(1+S66+T66),2)</f>
        <v>0</v>
      </c>
      <c r="X66" s="10"/>
    </row>
    <row r="67" customFormat="false" ht="32.8" hidden="false" customHeight="false" outlineLevel="0" collapsed="false">
      <c r="A67" s="10" t="n">
        <v>63</v>
      </c>
      <c r="B67" s="19" t="n">
        <v>45822</v>
      </c>
      <c r="C67" s="21" t="n">
        <f aca="false">YEAR(B67)</f>
        <v>2025</v>
      </c>
      <c r="D67" s="10" t="s">
        <v>219</v>
      </c>
      <c r="E67" s="10" t="s">
        <v>210</v>
      </c>
      <c r="F67" s="11" t="n">
        <v>-650</v>
      </c>
      <c r="G67" s="10" t="s">
        <v>181</v>
      </c>
      <c r="H67" s="10" t="s">
        <v>187</v>
      </c>
      <c r="I67" s="10" t="s">
        <v>257</v>
      </c>
      <c r="J67" s="10" t="s">
        <v>188</v>
      </c>
      <c r="K67" s="22" t="s">
        <v>184</v>
      </c>
      <c r="L67" s="10" t="str">
        <f aca="false">IF(AND(G67="entrada",F67&gt;=00_PARAMETROS!$B$7),"SIM","NÃO")</f>
        <v>NÃO</v>
      </c>
      <c r="M67" s="23"/>
      <c r="N67" s="24" t="n">
        <f aca="false">IFERROR(INDEX(00_PARAMETROS!$B$41:$B$54,MATCH(K67,00_PARAMETROS!$A$41:$A$54,0)),0)</f>
        <v>0</v>
      </c>
      <c r="O67" s="11" t="n">
        <f aca="false">IF(OR(G67&lt;&gt;"entrada",N67=0),0,IF(K67="VENDA_BEM_BR_GCAP",N(M67),F67))</f>
        <v>0</v>
      </c>
      <c r="P67" s="11" t="n">
        <f aca="false">ROUND(O67*N67,2)</f>
        <v>0</v>
      </c>
      <c r="Q67" s="11" t="n">
        <f aca="false">IF(AND(G67="entrada",K67="PENDENTE"),ROUND(F67*00_PARAMETROS!$B$12,2),0)</f>
        <v>0</v>
      </c>
      <c r="R67" s="11" t="n">
        <f aca="false">IF(AND(G67="entrada",K67="PENDENTE"),ROUND(F67*00_PARAMETROS!$B$13,2),0)</f>
        <v>0</v>
      </c>
      <c r="S67" s="24" t="n">
        <f aca="false">IF(P67+Q67&gt;0,SUMIFS(SELIC!$B$4:$B$96,SELIC!$A$4:$A$96,"&gt;="&amp;DATE(YEAR(B67),MONTH(B67)+1,1),SELIC!$A$4:$A$96,"&lt;="&amp;DATE(YEAR(00_PARAMETROS!$B$4),MONTH(00_PARAMETROS!$B$4)-1,1))+00_PARAMETROS!$B$11,0)</f>
        <v>0</v>
      </c>
      <c r="T67" s="24" t="n">
        <f aca="false">IF(P67+Q67&gt;0,MIN(00_PARAMETROS!$B$9,00_PARAMETROS!$B$8*MAX(0,00_PARAMETROS!$B$4-B67)),0)</f>
        <v>0</v>
      </c>
      <c r="U67" s="11" t="n">
        <f aca="false">ROUND(P67*(1+S67+T67),2)</f>
        <v>0</v>
      </c>
      <c r="V67" s="11" t="n">
        <f aca="false">ROUND(Q67*(1+S67+T67),2)</f>
        <v>0</v>
      </c>
      <c r="W67" s="11" t="n">
        <f aca="false">ROUND(R67*(1+S67+T67),2)</f>
        <v>0</v>
      </c>
      <c r="X67" s="10"/>
    </row>
    <row r="68" customFormat="false" ht="22.35" hidden="false" customHeight="false" outlineLevel="0" collapsed="false">
      <c r="A68" s="10" t="n">
        <v>64</v>
      </c>
      <c r="B68" s="19" t="n">
        <v>45834</v>
      </c>
      <c r="C68" s="21" t="n">
        <f aca="false">YEAR(B68)</f>
        <v>2025</v>
      </c>
      <c r="D68" s="10" t="s">
        <v>256</v>
      </c>
      <c r="E68" s="10" t="s">
        <v>256</v>
      </c>
      <c r="F68" s="11" t="n">
        <v>2000</v>
      </c>
      <c r="G68" s="10" t="s">
        <v>175</v>
      </c>
      <c r="H68" s="10" t="s">
        <v>182</v>
      </c>
      <c r="I68" s="10" t="s">
        <v>257</v>
      </c>
      <c r="J68" s="10" t="s">
        <v>258</v>
      </c>
      <c r="K68" s="22" t="s">
        <v>259</v>
      </c>
      <c r="L68" s="10" t="str">
        <f aca="false">IF(AND(G68="entrada",F68&gt;=00_PARAMETROS!$B$7),"SIM","NÃO")</f>
        <v>NÃO</v>
      </c>
      <c r="M68" s="23"/>
      <c r="N68" s="24" t="n">
        <f aca="false">IFERROR(INDEX(00_PARAMETROS!$B$41:$B$54,MATCH(K68,00_PARAMETROS!$A$41:$A$54,0)),0)</f>
        <v>0</v>
      </c>
      <c r="O68" s="11" t="n">
        <f aca="false">IF(OR(G68&lt;&gt;"entrada",N68=0),0,IF(K68="VENDA_BEM_BR_GCAP",N(M68),F68))</f>
        <v>0</v>
      </c>
      <c r="P68" s="11" t="n">
        <f aca="false">ROUND(O68*N68,2)</f>
        <v>0</v>
      </c>
      <c r="Q68" s="11" t="n">
        <f aca="false">IF(AND(G68="entrada",K68="PENDENTE"),ROUND(F68*00_PARAMETROS!$B$12,2),0)</f>
        <v>0</v>
      </c>
      <c r="R68" s="11" t="n">
        <f aca="false">IF(AND(G68="entrada",K68="PENDENTE"),ROUND(F68*00_PARAMETROS!$B$13,2),0)</f>
        <v>0</v>
      </c>
      <c r="S68" s="24" t="n">
        <f aca="false">IF(P68+Q68&gt;0,SUMIFS(SELIC!$B$4:$B$96,SELIC!$A$4:$A$96,"&gt;="&amp;DATE(YEAR(B68),MONTH(B68)+1,1),SELIC!$A$4:$A$96,"&lt;="&amp;DATE(YEAR(00_PARAMETROS!$B$4),MONTH(00_PARAMETROS!$B$4)-1,1))+00_PARAMETROS!$B$11,0)</f>
        <v>0</v>
      </c>
      <c r="T68" s="24" t="n">
        <f aca="false">IF(P68+Q68&gt;0,MIN(00_PARAMETROS!$B$9,00_PARAMETROS!$B$8*MAX(0,00_PARAMETROS!$B$4-B68)),0)</f>
        <v>0</v>
      </c>
      <c r="U68" s="11" t="n">
        <f aca="false">ROUND(P68*(1+S68+T68),2)</f>
        <v>0</v>
      </c>
      <c r="V68" s="11" t="n">
        <f aca="false">ROUND(Q68*(1+S68+T68),2)</f>
        <v>0</v>
      </c>
      <c r="W68" s="11" t="n">
        <f aca="false">ROUND(R68*(1+S68+T68),2)</f>
        <v>0</v>
      </c>
      <c r="X68" s="10"/>
    </row>
    <row r="69" customFormat="false" ht="43.25" hidden="false" customHeight="false" outlineLevel="0" collapsed="false">
      <c r="A69" s="10" t="n">
        <v>65</v>
      </c>
      <c r="B69" s="19" t="n">
        <v>45834</v>
      </c>
      <c r="C69" s="21" t="n">
        <f aca="false">YEAR(B69)</f>
        <v>2025</v>
      </c>
      <c r="D69" s="10" t="s">
        <v>220</v>
      </c>
      <c r="E69" s="10" t="s">
        <v>186</v>
      </c>
      <c r="F69" s="11" t="n">
        <v>-2000</v>
      </c>
      <c r="G69" s="10" t="s">
        <v>181</v>
      </c>
      <c r="H69" s="10" t="s">
        <v>187</v>
      </c>
      <c r="I69" s="10" t="s">
        <v>257</v>
      </c>
      <c r="J69" s="10" t="s">
        <v>188</v>
      </c>
      <c r="K69" s="22" t="s">
        <v>184</v>
      </c>
      <c r="L69" s="10" t="str">
        <f aca="false">IF(AND(G69="entrada",F69&gt;=00_PARAMETROS!$B$7),"SIM","NÃO")</f>
        <v>NÃO</v>
      </c>
      <c r="M69" s="23"/>
      <c r="N69" s="24" t="n">
        <f aca="false">IFERROR(INDEX(00_PARAMETROS!$B$41:$B$54,MATCH(K69,00_PARAMETROS!$A$41:$A$54,0)),0)</f>
        <v>0</v>
      </c>
      <c r="O69" s="11" t="n">
        <f aca="false">IF(OR(G69&lt;&gt;"entrada",N69=0),0,IF(K69="VENDA_BEM_BR_GCAP",N(M69),F69))</f>
        <v>0</v>
      </c>
      <c r="P69" s="11" t="n">
        <f aca="false">ROUND(O69*N69,2)</f>
        <v>0</v>
      </c>
      <c r="Q69" s="11" t="n">
        <f aca="false">IF(AND(G69="entrada",K69="PENDENTE"),ROUND(F69*00_PARAMETROS!$B$12,2),0)</f>
        <v>0</v>
      </c>
      <c r="R69" s="11" t="n">
        <f aca="false">IF(AND(G69="entrada",K69="PENDENTE"),ROUND(F69*00_PARAMETROS!$B$13,2),0)</f>
        <v>0</v>
      </c>
      <c r="S69" s="24" t="n">
        <f aca="false">IF(P69+Q69&gt;0,SUMIFS(SELIC!$B$4:$B$96,SELIC!$A$4:$A$96,"&gt;="&amp;DATE(YEAR(B69),MONTH(B69)+1,1),SELIC!$A$4:$A$96,"&lt;="&amp;DATE(YEAR(00_PARAMETROS!$B$4),MONTH(00_PARAMETROS!$B$4)-1,1))+00_PARAMETROS!$B$11,0)</f>
        <v>0</v>
      </c>
      <c r="T69" s="24" t="n">
        <f aca="false">IF(P69+Q69&gt;0,MIN(00_PARAMETROS!$B$9,00_PARAMETROS!$B$8*MAX(0,00_PARAMETROS!$B$4-B69)),0)</f>
        <v>0</v>
      </c>
      <c r="U69" s="11" t="n">
        <f aca="false">ROUND(P69*(1+S69+T69),2)</f>
        <v>0</v>
      </c>
      <c r="V69" s="11" t="n">
        <f aca="false">ROUND(Q69*(1+S69+T69),2)</f>
        <v>0</v>
      </c>
      <c r="W69" s="11" t="n">
        <f aca="false">ROUND(R69*(1+S69+T69),2)</f>
        <v>0</v>
      </c>
      <c r="X69" s="10"/>
    </row>
    <row r="70" customFormat="false" ht="22.35" hidden="false" customHeight="false" outlineLevel="0" collapsed="false">
      <c r="A70" s="10" t="n">
        <v>66</v>
      </c>
      <c r="B70" s="19" t="n">
        <v>45841</v>
      </c>
      <c r="C70" s="21" t="n">
        <f aca="false">YEAR(B70)</f>
        <v>2025</v>
      </c>
      <c r="D70" s="10" t="s">
        <v>256</v>
      </c>
      <c r="E70" s="10" t="s">
        <v>256</v>
      </c>
      <c r="F70" s="11" t="n">
        <v>250</v>
      </c>
      <c r="G70" s="10" t="s">
        <v>175</v>
      </c>
      <c r="H70" s="10" t="s">
        <v>182</v>
      </c>
      <c r="I70" s="10" t="s">
        <v>261</v>
      </c>
      <c r="J70" s="10" t="s">
        <v>258</v>
      </c>
      <c r="K70" s="22" t="s">
        <v>259</v>
      </c>
      <c r="L70" s="10" t="str">
        <f aca="false">IF(AND(G70="entrada",F70&gt;=00_PARAMETROS!$B$7),"SIM","NÃO")</f>
        <v>NÃO</v>
      </c>
      <c r="M70" s="23"/>
      <c r="N70" s="24" t="n">
        <f aca="false">IFERROR(INDEX(00_PARAMETROS!$B$41:$B$54,MATCH(K70,00_PARAMETROS!$A$41:$A$54,0)),0)</f>
        <v>0</v>
      </c>
      <c r="O70" s="11" t="n">
        <f aca="false">IF(OR(G70&lt;&gt;"entrada",N70=0),0,IF(K70="VENDA_BEM_BR_GCAP",N(M70),F70))</f>
        <v>0</v>
      </c>
      <c r="P70" s="11" t="n">
        <f aca="false">ROUND(O70*N70,2)</f>
        <v>0</v>
      </c>
      <c r="Q70" s="11" t="n">
        <f aca="false">IF(AND(G70="entrada",K70="PENDENTE"),ROUND(F70*00_PARAMETROS!$B$12,2),0)</f>
        <v>0</v>
      </c>
      <c r="R70" s="11" t="n">
        <f aca="false">IF(AND(G70="entrada",K70="PENDENTE"),ROUND(F70*00_PARAMETROS!$B$13,2),0)</f>
        <v>0</v>
      </c>
      <c r="S70" s="24" t="n">
        <f aca="false">IF(P70+Q70&gt;0,SUMIFS(SELIC!$B$4:$B$96,SELIC!$A$4:$A$96,"&gt;="&amp;DATE(YEAR(B70),MONTH(B70)+1,1),SELIC!$A$4:$A$96,"&lt;="&amp;DATE(YEAR(00_PARAMETROS!$B$4),MONTH(00_PARAMETROS!$B$4)-1,1))+00_PARAMETROS!$B$11,0)</f>
        <v>0</v>
      </c>
      <c r="T70" s="24" t="n">
        <f aca="false">IF(P70+Q70&gt;0,MIN(00_PARAMETROS!$B$9,00_PARAMETROS!$B$8*MAX(0,00_PARAMETROS!$B$4-B70)),0)</f>
        <v>0</v>
      </c>
      <c r="U70" s="11" t="n">
        <f aca="false">ROUND(P70*(1+S70+T70),2)</f>
        <v>0</v>
      </c>
      <c r="V70" s="11" t="n">
        <f aca="false">ROUND(Q70*(1+S70+T70),2)</f>
        <v>0</v>
      </c>
      <c r="W70" s="11" t="n">
        <f aca="false">ROUND(R70*(1+S70+T70),2)</f>
        <v>0</v>
      </c>
      <c r="X70" s="10"/>
    </row>
    <row r="71" customFormat="false" ht="32.8" hidden="false" customHeight="false" outlineLevel="0" collapsed="false">
      <c r="A71" s="10" t="n">
        <v>67</v>
      </c>
      <c r="B71" s="19" t="n">
        <v>45841</v>
      </c>
      <c r="C71" s="21" t="n">
        <f aca="false">YEAR(B71)</f>
        <v>2025</v>
      </c>
      <c r="D71" s="10" t="s">
        <v>245</v>
      </c>
      <c r="E71" s="10" t="s">
        <v>145</v>
      </c>
      <c r="F71" s="11" t="n">
        <v>-250</v>
      </c>
      <c r="G71" s="10" t="s">
        <v>181</v>
      </c>
      <c r="H71" s="10" t="s">
        <v>187</v>
      </c>
      <c r="I71" s="10" t="s">
        <v>261</v>
      </c>
      <c r="J71" s="10" t="s">
        <v>188</v>
      </c>
      <c r="K71" s="22" t="s">
        <v>184</v>
      </c>
      <c r="L71" s="10" t="str">
        <f aca="false">IF(AND(G71="entrada",F71&gt;=00_PARAMETROS!$B$7),"SIM","NÃO")</f>
        <v>NÃO</v>
      </c>
      <c r="M71" s="23"/>
      <c r="N71" s="24" t="n">
        <f aca="false">IFERROR(INDEX(00_PARAMETROS!$B$41:$B$54,MATCH(K71,00_PARAMETROS!$A$41:$A$54,0)),0)</f>
        <v>0</v>
      </c>
      <c r="O71" s="11" t="n">
        <f aca="false">IF(OR(G71&lt;&gt;"entrada",N71=0),0,IF(K71="VENDA_BEM_BR_GCAP",N(M71),F71))</f>
        <v>0</v>
      </c>
      <c r="P71" s="11" t="n">
        <f aca="false">ROUND(O71*N71,2)</f>
        <v>0</v>
      </c>
      <c r="Q71" s="11" t="n">
        <f aca="false">IF(AND(G71="entrada",K71="PENDENTE"),ROUND(F71*00_PARAMETROS!$B$12,2),0)</f>
        <v>0</v>
      </c>
      <c r="R71" s="11" t="n">
        <f aca="false">IF(AND(G71="entrada",K71="PENDENTE"),ROUND(F71*00_PARAMETROS!$B$13,2),0)</f>
        <v>0</v>
      </c>
      <c r="S71" s="24" t="n">
        <f aca="false">IF(P71+Q71&gt;0,SUMIFS(SELIC!$B$4:$B$96,SELIC!$A$4:$A$96,"&gt;="&amp;DATE(YEAR(B71),MONTH(B71)+1,1),SELIC!$A$4:$A$96,"&lt;="&amp;DATE(YEAR(00_PARAMETROS!$B$4),MONTH(00_PARAMETROS!$B$4)-1,1))+00_PARAMETROS!$B$11,0)</f>
        <v>0</v>
      </c>
      <c r="T71" s="24" t="n">
        <f aca="false">IF(P71+Q71&gt;0,MIN(00_PARAMETROS!$B$9,00_PARAMETROS!$B$8*MAX(0,00_PARAMETROS!$B$4-B71)),0)</f>
        <v>0</v>
      </c>
      <c r="U71" s="11" t="n">
        <f aca="false">ROUND(P71*(1+S71+T71),2)</f>
        <v>0</v>
      </c>
      <c r="V71" s="11" t="n">
        <f aca="false">ROUND(Q71*(1+S71+T71),2)</f>
        <v>0</v>
      </c>
      <c r="W71" s="11" t="n">
        <f aca="false">ROUND(R71*(1+S71+T71),2)</f>
        <v>0</v>
      </c>
      <c r="X71" s="10"/>
    </row>
    <row r="72" customFormat="false" ht="22.35" hidden="false" customHeight="false" outlineLevel="0" collapsed="false">
      <c r="A72" s="10" t="n">
        <v>68</v>
      </c>
      <c r="B72" s="19" t="n">
        <v>45846</v>
      </c>
      <c r="C72" s="21" t="n">
        <f aca="false">YEAR(B72)</f>
        <v>2025</v>
      </c>
      <c r="D72" s="10" t="s">
        <v>256</v>
      </c>
      <c r="E72" s="10" t="s">
        <v>256</v>
      </c>
      <c r="F72" s="11" t="n">
        <v>100</v>
      </c>
      <c r="G72" s="10" t="s">
        <v>175</v>
      </c>
      <c r="H72" s="10" t="s">
        <v>182</v>
      </c>
      <c r="I72" s="10" t="s">
        <v>261</v>
      </c>
      <c r="J72" s="10" t="s">
        <v>258</v>
      </c>
      <c r="K72" s="22" t="s">
        <v>259</v>
      </c>
      <c r="L72" s="10" t="str">
        <f aca="false">IF(AND(G72="entrada",F72&gt;=00_PARAMETROS!$B$7),"SIM","NÃO")</f>
        <v>NÃO</v>
      </c>
      <c r="M72" s="23"/>
      <c r="N72" s="24" t="n">
        <f aca="false">IFERROR(INDEX(00_PARAMETROS!$B$41:$B$54,MATCH(K72,00_PARAMETROS!$A$41:$A$54,0)),0)</f>
        <v>0</v>
      </c>
      <c r="O72" s="11" t="n">
        <f aca="false">IF(OR(G72&lt;&gt;"entrada",N72=0),0,IF(K72="VENDA_BEM_BR_GCAP",N(M72),F72))</f>
        <v>0</v>
      </c>
      <c r="P72" s="11" t="n">
        <f aca="false">ROUND(O72*N72,2)</f>
        <v>0</v>
      </c>
      <c r="Q72" s="11" t="n">
        <f aca="false">IF(AND(G72="entrada",K72="PENDENTE"),ROUND(F72*00_PARAMETROS!$B$12,2),0)</f>
        <v>0</v>
      </c>
      <c r="R72" s="11" t="n">
        <f aca="false">IF(AND(G72="entrada",K72="PENDENTE"),ROUND(F72*00_PARAMETROS!$B$13,2),0)</f>
        <v>0</v>
      </c>
      <c r="S72" s="24" t="n">
        <f aca="false">IF(P72+Q72&gt;0,SUMIFS(SELIC!$B$4:$B$96,SELIC!$A$4:$A$96,"&gt;="&amp;DATE(YEAR(B72),MONTH(B72)+1,1),SELIC!$A$4:$A$96,"&lt;="&amp;DATE(YEAR(00_PARAMETROS!$B$4),MONTH(00_PARAMETROS!$B$4)-1,1))+00_PARAMETROS!$B$11,0)</f>
        <v>0</v>
      </c>
      <c r="T72" s="24" t="n">
        <f aca="false">IF(P72+Q72&gt;0,MIN(00_PARAMETROS!$B$9,00_PARAMETROS!$B$8*MAX(0,00_PARAMETROS!$B$4-B72)),0)</f>
        <v>0</v>
      </c>
      <c r="U72" s="11" t="n">
        <f aca="false">ROUND(P72*(1+S72+T72),2)</f>
        <v>0</v>
      </c>
      <c r="V72" s="11" t="n">
        <f aca="false">ROUND(Q72*(1+S72+T72),2)</f>
        <v>0</v>
      </c>
      <c r="W72" s="11" t="n">
        <f aca="false">ROUND(R72*(1+S72+T72),2)</f>
        <v>0</v>
      </c>
      <c r="X72" s="10"/>
    </row>
    <row r="73" customFormat="false" ht="43.25" hidden="false" customHeight="false" outlineLevel="0" collapsed="false">
      <c r="A73" s="10" t="n">
        <v>69</v>
      </c>
      <c r="B73" s="19" t="n">
        <v>45846</v>
      </c>
      <c r="C73" s="21" t="n">
        <f aca="false">YEAR(B73)</f>
        <v>2025</v>
      </c>
      <c r="D73" s="10" t="s">
        <v>185</v>
      </c>
      <c r="E73" s="10" t="s">
        <v>186</v>
      </c>
      <c r="F73" s="11" t="n">
        <v>-127</v>
      </c>
      <c r="G73" s="10" t="s">
        <v>181</v>
      </c>
      <c r="H73" s="10" t="s">
        <v>187</v>
      </c>
      <c r="I73" s="10" t="s">
        <v>261</v>
      </c>
      <c r="J73" s="10" t="s">
        <v>188</v>
      </c>
      <c r="K73" s="22" t="s">
        <v>184</v>
      </c>
      <c r="L73" s="10" t="str">
        <f aca="false">IF(AND(G73="entrada",F73&gt;=00_PARAMETROS!$B$7),"SIM","NÃO")</f>
        <v>NÃO</v>
      </c>
      <c r="M73" s="23"/>
      <c r="N73" s="24" t="n">
        <f aca="false">IFERROR(INDEX(00_PARAMETROS!$B$41:$B$54,MATCH(K73,00_PARAMETROS!$A$41:$A$54,0)),0)</f>
        <v>0</v>
      </c>
      <c r="O73" s="11" t="n">
        <f aca="false">IF(OR(G73&lt;&gt;"entrada",N73=0),0,IF(K73="VENDA_BEM_BR_GCAP",N(M73),F73))</f>
        <v>0</v>
      </c>
      <c r="P73" s="11" t="n">
        <f aca="false">ROUND(O73*N73,2)</f>
        <v>0</v>
      </c>
      <c r="Q73" s="11" t="n">
        <f aca="false">IF(AND(G73="entrada",K73="PENDENTE"),ROUND(F73*00_PARAMETROS!$B$12,2),0)</f>
        <v>0</v>
      </c>
      <c r="R73" s="11" t="n">
        <f aca="false">IF(AND(G73="entrada",K73="PENDENTE"),ROUND(F73*00_PARAMETROS!$B$13,2),0)</f>
        <v>0</v>
      </c>
      <c r="S73" s="24" t="n">
        <f aca="false">IF(P73+Q73&gt;0,SUMIFS(SELIC!$B$4:$B$96,SELIC!$A$4:$A$96,"&gt;="&amp;DATE(YEAR(B73),MONTH(B73)+1,1),SELIC!$A$4:$A$96,"&lt;="&amp;DATE(YEAR(00_PARAMETROS!$B$4),MONTH(00_PARAMETROS!$B$4)-1,1))+00_PARAMETROS!$B$11,0)</f>
        <v>0</v>
      </c>
      <c r="T73" s="24" t="n">
        <f aca="false">IF(P73+Q73&gt;0,MIN(00_PARAMETROS!$B$9,00_PARAMETROS!$B$8*MAX(0,00_PARAMETROS!$B$4-B73)),0)</f>
        <v>0</v>
      </c>
      <c r="U73" s="11" t="n">
        <f aca="false">ROUND(P73*(1+S73+T73),2)</f>
        <v>0</v>
      </c>
      <c r="V73" s="11" t="n">
        <f aca="false">ROUND(Q73*(1+S73+T73),2)</f>
        <v>0</v>
      </c>
      <c r="W73" s="11" t="n">
        <f aca="false">ROUND(R73*(1+S73+T73),2)</f>
        <v>0</v>
      </c>
      <c r="X73" s="10"/>
    </row>
    <row r="74" customFormat="false" ht="32.8" hidden="false" customHeight="false" outlineLevel="0" collapsed="false">
      <c r="A74" s="10" t="n">
        <v>70</v>
      </c>
      <c r="B74" s="19" t="n">
        <v>45851</v>
      </c>
      <c r="C74" s="21" t="n">
        <f aca="false">YEAR(B74)</f>
        <v>2025</v>
      </c>
      <c r="D74" s="10" t="s">
        <v>262</v>
      </c>
      <c r="E74" s="10" t="s">
        <v>174</v>
      </c>
      <c r="F74" s="11" t="n">
        <v>43730.4</v>
      </c>
      <c r="G74" s="10" t="s">
        <v>175</v>
      </c>
      <c r="H74" s="10" t="s">
        <v>176</v>
      </c>
      <c r="I74" s="10" t="s">
        <v>261</v>
      </c>
      <c r="J74" s="10" t="s">
        <v>178</v>
      </c>
      <c r="K74" s="22" t="s">
        <v>179</v>
      </c>
      <c r="L74" s="10" t="str">
        <f aca="false">IF(AND(G74="entrada",F74&gt;=00_PARAMETROS!$B$7),"SIM","NÃO")</f>
        <v>SIM</v>
      </c>
      <c r="M74" s="23"/>
      <c r="N74" s="24" t="n">
        <f aca="false">IFERROR(INDEX(00_PARAMETROS!$B$41:$B$54,MATCH(K74,00_PARAMETROS!$A$41:$A$54,0)),0)</f>
        <v>0</v>
      </c>
      <c r="O74" s="11" t="n">
        <f aca="false">IF(OR(G74&lt;&gt;"entrada",N74=0),0,IF(K74="VENDA_BEM_BR_GCAP",N(M74),F74))</f>
        <v>0</v>
      </c>
      <c r="P74" s="11" t="n">
        <f aca="false">ROUND(O74*N74,2)</f>
        <v>0</v>
      </c>
      <c r="Q74" s="11" t="n">
        <f aca="false">IF(AND(G74="entrada",K74="PENDENTE"),ROUND(F74*00_PARAMETROS!$B$12,2),0)</f>
        <v>0</v>
      </c>
      <c r="R74" s="11" t="n">
        <f aca="false">IF(AND(G74="entrada",K74="PENDENTE"),ROUND(F74*00_PARAMETROS!$B$13,2),0)</f>
        <v>0</v>
      </c>
      <c r="S74" s="24" t="n">
        <f aca="false">IF(P74+Q74&gt;0,SUMIFS(SELIC!$B$4:$B$96,SELIC!$A$4:$A$96,"&gt;="&amp;DATE(YEAR(B74),MONTH(B74)+1,1),SELIC!$A$4:$A$96,"&lt;="&amp;DATE(YEAR(00_PARAMETROS!$B$4),MONTH(00_PARAMETROS!$B$4)-1,1))+00_PARAMETROS!$B$11,0)</f>
        <v>0</v>
      </c>
      <c r="T74" s="24" t="n">
        <f aca="false">IF(P74+Q74&gt;0,MIN(00_PARAMETROS!$B$9,00_PARAMETROS!$B$8*MAX(0,00_PARAMETROS!$B$4-B74)),0)</f>
        <v>0</v>
      </c>
      <c r="U74" s="11" t="n">
        <f aca="false">ROUND(P74*(1+S74+T74),2)</f>
        <v>0</v>
      </c>
      <c r="V74" s="11" t="n">
        <f aca="false">ROUND(Q74*(1+S74+T74),2)</f>
        <v>0</v>
      </c>
      <c r="W74" s="11" t="n">
        <f aca="false">ROUND(R74*(1+S74+T74),2)</f>
        <v>0</v>
      </c>
      <c r="X74" s="10"/>
    </row>
    <row r="75" customFormat="false" ht="32.8" hidden="false" customHeight="false" outlineLevel="0" collapsed="false">
      <c r="A75" s="10" t="n">
        <v>71</v>
      </c>
      <c r="B75" s="19" t="n">
        <v>45852</v>
      </c>
      <c r="C75" s="21" t="n">
        <f aca="false">YEAR(B75)</f>
        <v>2025</v>
      </c>
      <c r="D75" s="10" t="s">
        <v>196</v>
      </c>
      <c r="E75" s="10" t="s">
        <v>132</v>
      </c>
      <c r="F75" s="11" t="n">
        <v>10000</v>
      </c>
      <c r="G75" s="10" t="s">
        <v>175</v>
      </c>
      <c r="H75" s="10" t="s">
        <v>187</v>
      </c>
      <c r="I75" s="10" t="s">
        <v>261</v>
      </c>
      <c r="J75" s="25" t="s">
        <v>190</v>
      </c>
      <c r="K75" s="22" t="s">
        <v>191</v>
      </c>
      <c r="L75" s="10" t="str">
        <f aca="false">IF(AND(G75="entrada",F75&gt;=00_PARAMETROS!$B$7),"SIM","NÃO")</f>
        <v>SIM</v>
      </c>
      <c r="M75" s="23"/>
      <c r="N75" s="24" t="n">
        <f aca="false">IFERROR(INDEX(00_PARAMETROS!$B$41:$B$54,MATCH(K75,00_PARAMETROS!$A$41:$A$54,0)),0)</f>
        <v>0</v>
      </c>
      <c r="O75" s="11" t="n">
        <f aca="false">IF(OR(G75&lt;&gt;"entrada",N75=0),0,IF(K75="VENDA_BEM_BR_GCAP",N(M75),F75))</f>
        <v>0</v>
      </c>
      <c r="P75" s="11" t="n">
        <f aca="false">ROUND(O75*N75,2)</f>
        <v>0</v>
      </c>
      <c r="Q75" s="11" t="n">
        <f aca="false">IF(AND(G75="entrada",K75="PENDENTE"),ROUND(F75*00_PARAMETROS!$B$12,2),0)</f>
        <v>1500</v>
      </c>
      <c r="R75" s="11" t="n">
        <f aca="false">IF(AND(G75="entrada",K75="PENDENTE"),ROUND(F75*00_PARAMETROS!$B$13,2),0)</f>
        <v>2500</v>
      </c>
      <c r="S75" s="24" t="n">
        <f aca="false">IF(P75+Q75&gt;0,SUMIFS(SELIC!$B$4:$B$96,SELIC!$A$4:$A$96,"&gt;="&amp;DATE(YEAR(B75),MONTH(B75)+1,1),SELIC!$A$4:$A$96,"&lt;="&amp;DATE(YEAR(00_PARAMETROS!$B$4),MONTH(00_PARAMETROS!$B$4)-1,1))+00_PARAMETROS!$B$11,0)</f>
        <v>0.1589</v>
      </c>
      <c r="T75" s="24" t="n">
        <f aca="false">IF(P75+Q75&gt;0,MIN(00_PARAMETROS!$B$9,00_PARAMETROS!$B$8*MAX(0,00_PARAMETROS!$B$4-B75)),0)</f>
        <v>0.2</v>
      </c>
      <c r="U75" s="11" t="n">
        <f aca="false">ROUND(P75*(1+S75+T75),2)</f>
        <v>0</v>
      </c>
      <c r="V75" s="11" t="n">
        <f aca="false">ROUND(Q75*(1+S75+T75),2)</f>
        <v>2038.35</v>
      </c>
      <c r="W75" s="11" t="n">
        <f aca="false">ROUND(R75*(1+S75+T75),2)</f>
        <v>3397.25</v>
      </c>
      <c r="X75" s="10"/>
    </row>
    <row r="76" customFormat="false" ht="32.8" hidden="false" customHeight="false" outlineLevel="0" collapsed="false">
      <c r="A76" s="10" t="n">
        <v>72</v>
      </c>
      <c r="B76" s="19" t="n">
        <v>45852</v>
      </c>
      <c r="C76" s="21" t="n">
        <f aca="false">YEAR(B76)</f>
        <v>2025</v>
      </c>
      <c r="D76" s="10" t="s">
        <v>260</v>
      </c>
      <c r="E76" s="10" t="s">
        <v>135</v>
      </c>
      <c r="F76" s="11" t="n">
        <v>-16000</v>
      </c>
      <c r="G76" s="10" t="s">
        <v>181</v>
      </c>
      <c r="H76" s="10" t="s">
        <v>187</v>
      </c>
      <c r="I76" s="10" t="s">
        <v>261</v>
      </c>
      <c r="J76" s="10" t="s">
        <v>188</v>
      </c>
      <c r="K76" s="22" t="s">
        <v>184</v>
      </c>
      <c r="L76" s="10" t="str">
        <f aca="false">IF(AND(G76="entrada",F76&gt;=00_PARAMETROS!$B$7),"SIM","NÃO")</f>
        <v>NÃO</v>
      </c>
      <c r="M76" s="23"/>
      <c r="N76" s="24" t="n">
        <f aca="false">IFERROR(INDEX(00_PARAMETROS!$B$41:$B$54,MATCH(K76,00_PARAMETROS!$A$41:$A$54,0)),0)</f>
        <v>0</v>
      </c>
      <c r="O76" s="11" t="n">
        <f aca="false">IF(OR(G76&lt;&gt;"entrada",N76=0),0,IF(K76="VENDA_BEM_BR_GCAP",N(M76),F76))</f>
        <v>0</v>
      </c>
      <c r="P76" s="11" t="n">
        <f aca="false">ROUND(O76*N76,2)</f>
        <v>0</v>
      </c>
      <c r="Q76" s="11" t="n">
        <f aca="false">IF(AND(G76="entrada",K76="PENDENTE"),ROUND(F76*00_PARAMETROS!$B$12,2),0)</f>
        <v>0</v>
      </c>
      <c r="R76" s="11" t="n">
        <f aca="false">IF(AND(G76="entrada",K76="PENDENTE"),ROUND(F76*00_PARAMETROS!$B$13,2),0)</f>
        <v>0</v>
      </c>
      <c r="S76" s="24" t="n">
        <f aca="false">IF(P76+Q76&gt;0,SUMIFS(SELIC!$B$4:$B$96,SELIC!$A$4:$A$96,"&gt;="&amp;DATE(YEAR(B76),MONTH(B76)+1,1),SELIC!$A$4:$A$96,"&lt;="&amp;DATE(YEAR(00_PARAMETROS!$B$4),MONTH(00_PARAMETROS!$B$4)-1,1))+00_PARAMETROS!$B$11,0)</f>
        <v>0</v>
      </c>
      <c r="T76" s="24" t="n">
        <f aca="false">IF(P76+Q76&gt;0,MIN(00_PARAMETROS!$B$9,00_PARAMETROS!$B$8*MAX(0,00_PARAMETROS!$B$4-B76)),0)</f>
        <v>0</v>
      </c>
      <c r="U76" s="11" t="n">
        <f aca="false">ROUND(P76*(1+S76+T76),2)</f>
        <v>0</v>
      </c>
      <c r="V76" s="11" t="n">
        <f aca="false">ROUND(Q76*(1+S76+T76),2)</f>
        <v>0</v>
      </c>
      <c r="W76" s="11" t="n">
        <f aca="false">ROUND(R76*(1+S76+T76),2)</f>
        <v>0</v>
      </c>
      <c r="X76" s="10"/>
    </row>
    <row r="77" customFormat="false" ht="32.8" hidden="false" customHeight="false" outlineLevel="0" collapsed="false">
      <c r="A77" s="10" t="n">
        <v>73</v>
      </c>
      <c r="B77" s="19" t="n">
        <v>45853</v>
      </c>
      <c r="C77" s="21" t="n">
        <f aca="false">YEAR(B77)</f>
        <v>2025</v>
      </c>
      <c r="D77" s="10" t="s">
        <v>196</v>
      </c>
      <c r="E77" s="10" t="s">
        <v>132</v>
      </c>
      <c r="F77" s="11" t="n">
        <v>10000</v>
      </c>
      <c r="G77" s="10" t="s">
        <v>175</v>
      </c>
      <c r="H77" s="10" t="s">
        <v>187</v>
      </c>
      <c r="I77" s="10" t="s">
        <v>261</v>
      </c>
      <c r="J77" s="25" t="s">
        <v>190</v>
      </c>
      <c r="K77" s="22" t="s">
        <v>191</v>
      </c>
      <c r="L77" s="10" t="str">
        <f aca="false">IF(AND(G77="entrada",F77&gt;=00_PARAMETROS!$B$7),"SIM","NÃO")</f>
        <v>SIM</v>
      </c>
      <c r="M77" s="23"/>
      <c r="N77" s="24" t="n">
        <f aca="false">IFERROR(INDEX(00_PARAMETROS!$B$41:$B$54,MATCH(K77,00_PARAMETROS!$A$41:$A$54,0)),0)</f>
        <v>0</v>
      </c>
      <c r="O77" s="11" t="n">
        <f aca="false">IF(OR(G77&lt;&gt;"entrada",N77=0),0,IF(K77="VENDA_BEM_BR_GCAP",N(M77),F77))</f>
        <v>0</v>
      </c>
      <c r="P77" s="11" t="n">
        <f aca="false">ROUND(O77*N77,2)</f>
        <v>0</v>
      </c>
      <c r="Q77" s="11" t="n">
        <f aca="false">IF(AND(G77="entrada",K77="PENDENTE"),ROUND(F77*00_PARAMETROS!$B$12,2),0)</f>
        <v>1500</v>
      </c>
      <c r="R77" s="11" t="n">
        <f aca="false">IF(AND(G77="entrada",K77="PENDENTE"),ROUND(F77*00_PARAMETROS!$B$13,2),0)</f>
        <v>2500</v>
      </c>
      <c r="S77" s="24" t="n">
        <f aca="false">IF(P77+Q77&gt;0,SUMIFS(SELIC!$B$4:$B$96,SELIC!$A$4:$A$96,"&gt;="&amp;DATE(YEAR(B77),MONTH(B77)+1,1),SELIC!$A$4:$A$96,"&lt;="&amp;DATE(YEAR(00_PARAMETROS!$B$4),MONTH(00_PARAMETROS!$B$4)-1,1))+00_PARAMETROS!$B$11,0)</f>
        <v>0.1589</v>
      </c>
      <c r="T77" s="24" t="n">
        <f aca="false">IF(P77+Q77&gt;0,MIN(00_PARAMETROS!$B$9,00_PARAMETROS!$B$8*MAX(0,00_PARAMETROS!$B$4-B77)),0)</f>
        <v>0.2</v>
      </c>
      <c r="U77" s="11" t="n">
        <f aca="false">ROUND(P77*(1+S77+T77),2)</f>
        <v>0</v>
      </c>
      <c r="V77" s="11" t="n">
        <f aca="false">ROUND(Q77*(1+S77+T77),2)</f>
        <v>2038.35</v>
      </c>
      <c r="W77" s="11" t="n">
        <f aca="false">ROUND(R77*(1+S77+T77),2)</f>
        <v>3397.25</v>
      </c>
      <c r="X77" s="10"/>
    </row>
    <row r="78" customFormat="false" ht="32.8" hidden="false" customHeight="false" outlineLevel="0" collapsed="false">
      <c r="A78" s="10" t="n">
        <v>74</v>
      </c>
      <c r="B78" s="19" t="n">
        <v>45854</v>
      </c>
      <c r="C78" s="21" t="n">
        <f aca="false">YEAR(B78)</f>
        <v>2025</v>
      </c>
      <c r="D78" s="10" t="s">
        <v>196</v>
      </c>
      <c r="E78" s="10" t="s">
        <v>132</v>
      </c>
      <c r="F78" s="11" t="n">
        <v>7350</v>
      </c>
      <c r="G78" s="10" t="s">
        <v>175</v>
      </c>
      <c r="H78" s="10" t="s">
        <v>187</v>
      </c>
      <c r="I78" s="10" t="s">
        <v>261</v>
      </c>
      <c r="J78" s="25" t="s">
        <v>190</v>
      </c>
      <c r="K78" s="22" t="s">
        <v>191</v>
      </c>
      <c r="L78" s="10" t="str">
        <f aca="false">IF(AND(G78="entrada",F78&gt;=00_PARAMETROS!$B$7),"SIM","NÃO")</f>
        <v>NÃO</v>
      </c>
      <c r="M78" s="23"/>
      <c r="N78" s="24" t="n">
        <f aca="false">IFERROR(INDEX(00_PARAMETROS!$B$41:$B$54,MATCH(K78,00_PARAMETROS!$A$41:$A$54,0)),0)</f>
        <v>0</v>
      </c>
      <c r="O78" s="11" t="n">
        <f aca="false">IF(OR(G78&lt;&gt;"entrada",N78=0),0,IF(K78="VENDA_BEM_BR_GCAP",N(M78),F78))</f>
        <v>0</v>
      </c>
      <c r="P78" s="11" t="n">
        <f aca="false">ROUND(O78*N78,2)</f>
        <v>0</v>
      </c>
      <c r="Q78" s="11" t="n">
        <f aca="false">IF(AND(G78="entrada",K78="PENDENTE"),ROUND(F78*00_PARAMETROS!$B$12,2),0)</f>
        <v>1102.5</v>
      </c>
      <c r="R78" s="11" t="n">
        <f aca="false">IF(AND(G78="entrada",K78="PENDENTE"),ROUND(F78*00_PARAMETROS!$B$13,2),0)</f>
        <v>1837.5</v>
      </c>
      <c r="S78" s="24" t="n">
        <f aca="false">IF(P78+Q78&gt;0,SUMIFS(SELIC!$B$4:$B$96,SELIC!$A$4:$A$96,"&gt;="&amp;DATE(YEAR(B78),MONTH(B78)+1,1),SELIC!$A$4:$A$96,"&lt;="&amp;DATE(YEAR(00_PARAMETROS!$B$4),MONTH(00_PARAMETROS!$B$4)-1,1))+00_PARAMETROS!$B$11,0)</f>
        <v>0.1589</v>
      </c>
      <c r="T78" s="24" t="n">
        <f aca="false">IF(P78+Q78&gt;0,MIN(00_PARAMETROS!$B$9,00_PARAMETROS!$B$8*MAX(0,00_PARAMETROS!$B$4-B78)),0)</f>
        <v>0.2</v>
      </c>
      <c r="U78" s="11" t="n">
        <f aca="false">ROUND(P78*(1+S78+T78),2)</f>
        <v>0</v>
      </c>
      <c r="V78" s="11" t="n">
        <f aca="false">ROUND(Q78*(1+S78+T78),2)</f>
        <v>1498.19</v>
      </c>
      <c r="W78" s="11" t="n">
        <f aca="false">ROUND(R78*(1+S78+T78),2)</f>
        <v>2496.98</v>
      </c>
      <c r="X78" s="10"/>
    </row>
    <row r="79" customFormat="false" ht="15" hidden="false" customHeight="false" outlineLevel="0" collapsed="false">
      <c r="A79" s="10" t="n">
        <v>75</v>
      </c>
      <c r="B79" s="19" t="n">
        <v>45854</v>
      </c>
      <c r="C79" s="21" t="n">
        <f aca="false">YEAR(B79)</f>
        <v>2025</v>
      </c>
      <c r="D79" s="10" t="s">
        <v>180</v>
      </c>
      <c r="E79" s="10" t="s">
        <v>180</v>
      </c>
      <c r="F79" s="11" t="n">
        <v>-55140</v>
      </c>
      <c r="G79" s="10" t="s">
        <v>181</v>
      </c>
      <c r="H79" s="10" t="s">
        <v>182</v>
      </c>
      <c r="I79" s="10" t="s">
        <v>261</v>
      </c>
      <c r="J79" s="10" t="s">
        <v>183</v>
      </c>
      <c r="K79" s="22" t="s">
        <v>184</v>
      </c>
      <c r="L79" s="10" t="str">
        <f aca="false">IF(AND(G79="entrada",F79&gt;=00_PARAMETROS!$B$7),"SIM","NÃO")</f>
        <v>NÃO</v>
      </c>
      <c r="M79" s="23"/>
      <c r="N79" s="24" t="n">
        <f aca="false">IFERROR(INDEX(00_PARAMETROS!$B$41:$B$54,MATCH(K79,00_PARAMETROS!$A$41:$A$54,0)),0)</f>
        <v>0</v>
      </c>
      <c r="O79" s="11" t="n">
        <f aca="false">IF(OR(G79&lt;&gt;"entrada",N79=0),0,IF(K79="VENDA_BEM_BR_GCAP",N(M79),F79))</f>
        <v>0</v>
      </c>
      <c r="P79" s="11" t="n">
        <f aca="false">ROUND(O79*N79,2)</f>
        <v>0</v>
      </c>
      <c r="Q79" s="11" t="n">
        <f aca="false">IF(AND(G79="entrada",K79="PENDENTE"),ROUND(F79*00_PARAMETROS!$B$12,2),0)</f>
        <v>0</v>
      </c>
      <c r="R79" s="11" t="n">
        <f aca="false">IF(AND(G79="entrada",K79="PENDENTE"),ROUND(F79*00_PARAMETROS!$B$13,2),0)</f>
        <v>0</v>
      </c>
      <c r="S79" s="24" t="n">
        <f aca="false">IF(P79+Q79&gt;0,SUMIFS(SELIC!$B$4:$B$96,SELIC!$A$4:$A$96,"&gt;="&amp;DATE(YEAR(B79),MONTH(B79)+1,1),SELIC!$A$4:$A$96,"&lt;="&amp;DATE(YEAR(00_PARAMETROS!$B$4),MONTH(00_PARAMETROS!$B$4)-1,1))+00_PARAMETROS!$B$11,0)</f>
        <v>0</v>
      </c>
      <c r="T79" s="24" t="n">
        <f aca="false">IF(P79+Q79&gt;0,MIN(00_PARAMETROS!$B$9,00_PARAMETROS!$B$8*MAX(0,00_PARAMETROS!$B$4-B79)),0)</f>
        <v>0</v>
      </c>
      <c r="U79" s="11" t="n">
        <f aca="false">ROUND(P79*(1+S79+T79),2)</f>
        <v>0</v>
      </c>
      <c r="V79" s="11" t="n">
        <f aca="false">ROUND(Q79*(1+S79+T79),2)</f>
        <v>0</v>
      </c>
      <c r="W79" s="11" t="n">
        <f aca="false">ROUND(R79*(1+S79+T79),2)</f>
        <v>0</v>
      </c>
      <c r="X79" s="10"/>
    </row>
    <row r="80" customFormat="false" ht="32.8" hidden="false" customHeight="false" outlineLevel="0" collapsed="false">
      <c r="A80" s="10" t="n">
        <v>76</v>
      </c>
      <c r="B80" s="19" t="n">
        <v>45855</v>
      </c>
      <c r="C80" s="21" t="n">
        <f aca="false">YEAR(B80)</f>
        <v>2025</v>
      </c>
      <c r="D80" s="10" t="s">
        <v>263</v>
      </c>
      <c r="E80" s="10" t="s">
        <v>132</v>
      </c>
      <c r="F80" s="11" t="n">
        <v>20000</v>
      </c>
      <c r="G80" s="10" t="s">
        <v>175</v>
      </c>
      <c r="H80" s="10" t="s">
        <v>187</v>
      </c>
      <c r="I80" s="10" t="s">
        <v>261</v>
      </c>
      <c r="J80" s="25" t="s">
        <v>190</v>
      </c>
      <c r="K80" s="22" t="s">
        <v>191</v>
      </c>
      <c r="L80" s="10" t="str">
        <f aca="false">IF(AND(G80="entrada",F80&gt;=00_PARAMETROS!$B$7),"SIM","NÃO")</f>
        <v>SIM</v>
      </c>
      <c r="M80" s="23"/>
      <c r="N80" s="24" t="n">
        <f aca="false">IFERROR(INDEX(00_PARAMETROS!$B$41:$B$54,MATCH(K80,00_PARAMETROS!$A$41:$A$54,0)),0)</f>
        <v>0</v>
      </c>
      <c r="O80" s="11" t="n">
        <f aca="false">IF(OR(G80&lt;&gt;"entrada",N80=0),0,IF(K80="VENDA_BEM_BR_GCAP",N(M80),F80))</f>
        <v>0</v>
      </c>
      <c r="P80" s="11" t="n">
        <f aca="false">ROUND(O80*N80,2)</f>
        <v>0</v>
      </c>
      <c r="Q80" s="11" t="n">
        <f aca="false">IF(AND(G80="entrada",K80="PENDENTE"),ROUND(F80*00_PARAMETROS!$B$12,2),0)</f>
        <v>3000</v>
      </c>
      <c r="R80" s="11" t="n">
        <f aca="false">IF(AND(G80="entrada",K80="PENDENTE"),ROUND(F80*00_PARAMETROS!$B$13,2),0)</f>
        <v>5000</v>
      </c>
      <c r="S80" s="24" t="n">
        <f aca="false">IF(P80+Q80&gt;0,SUMIFS(SELIC!$B$4:$B$96,SELIC!$A$4:$A$96,"&gt;="&amp;DATE(YEAR(B80),MONTH(B80)+1,1),SELIC!$A$4:$A$96,"&lt;="&amp;DATE(YEAR(00_PARAMETROS!$B$4),MONTH(00_PARAMETROS!$B$4)-1,1))+00_PARAMETROS!$B$11,0)</f>
        <v>0.1589</v>
      </c>
      <c r="T80" s="24" t="n">
        <f aca="false">IF(P80+Q80&gt;0,MIN(00_PARAMETROS!$B$9,00_PARAMETROS!$B$8*MAX(0,00_PARAMETROS!$B$4-B80)),0)</f>
        <v>0.2</v>
      </c>
      <c r="U80" s="11" t="n">
        <f aca="false">ROUND(P80*(1+S80+T80),2)</f>
        <v>0</v>
      </c>
      <c r="V80" s="11" t="n">
        <f aca="false">ROUND(Q80*(1+S80+T80),2)</f>
        <v>4076.7</v>
      </c>
      <c r="W80" s="11" t="n">
        <f aca="false">ROUND(R80*(1+S80+T80),2)</f>
        <v>6794.5</v>
      </c>
      <c r="X80" s="10"/>
    </row>
    <row r="81" customFormat="false" ht="32.8" hidden="false" customHeight="false" outlineLevel="0" collapsed="false">
      <c r="A81" s="10" t="n">
        <v>77</v>
      </c>
      <c r="B81" s="19" t="n">
        <v>45856</v>
      </c>
      <c r="C81" s="21" t="n">
        <f aca="false">YEAR(B81)</f>
        <v>2025</v>
      </c>
      <c r="D81" s="10" t="s">
        <v>260</v>
      </c>
      <c r="E81" s="10" t="s">
        <v>135</v>
      </c>
      <c r="F81" s="11" t="n">
        <v>-1140</v>
      </c>
      <c r="G81" s="10" t="s">
        <v>181</v>
      </c>
      <c r="H81" s="10" t="s">
        <v>187</v>
      </c>
      <c r="I81" s="10" t="s">
        <v>261</v>
      </c>
      <c r="J81" s="10" t="s">
        <v>188</v>
      </c>
      <c r="K81" s="22" t="s">
        <v>184</v>
      </c>
      <c r="L81" s="10" t="str">
        <f aca="false">IF(AND(G81="entrada",F81&gt;=00_PARAMETROS!$B$7),"SIM","NÃO")</f>
        <v>NÃO</v>
      </c>
      <c r="M81" s="23"/>
      <c r="N81" s="24" t="n">
        <f aca="false">IFERROR(INDEX(00_PARAMETROS!$B$41:$B$54,MATCH(K81,00_PARAMETROS!$A$41:$A$54,0)),0)</f>
        <v>0</v>
      </c>
      <c r="O81" s="11" t="n">
        <f aca="false">IF(OR(G81&lt;&gt;"entrada",N81=0),0,IF(K81="VENDA_BEM_BR_GCAP",N(M81),F81))</f>
        <v>0</v>
      </c>
      <c r="P81" s="11" t="n">
        <f aca="false">ROUND(O81*N81,2)</f>
        <v>0</v>
      </c>
      <c r="Q81" s="11" t="n">
        <f aca="false">IF(AND(G81="entrada",K81="PENDENTE"),ROUND(F81*00_PARAMETROS!$B$12,2),0)</f>
        <v>0</v>
      </c>
      <c r="R81" s="11" t="n">
        <f aca="false">IF(AND(G81="entrada",K81="PENDENTE"),ROUND(F81*00_PARAMETROS!$B$13,2),0)</f>
        <v>0</v>
      </c>
      <c r="S81" s="24" t="n">
        <f aca="false">IF(P81+Q81&gt;0,SUMIFS(SELIC!$B$4:$B$96,SELIC!$A$4:$A$96,"&gt;="&amp;DATE(YEAR(B81),MONTH(B81)+1,1),SELIC!$A$4:$A$96,"&lt;="&amp;DATE(YEAR(00_PARAMETROS!$B$4),MONTH(00_PARAMETROS!$B$4)-1,1))+00_PARAMETROS!$B$11,0)</f>
        <v>0</v>
      </c>
      <c r="T81" s="24" t="n">
        <f aca="false">IF(P81+Q81&gt;0,MIN(00_PARAMETROS!$B$9,00_PARAMETROS!$B$8*MAX(0,00_PARAMETROS!$B$4-B81)),0)</f>
        <v>0</v>
      </c>
      <c r="U81" s="11" t="n">
        <f aca="false">ROUND(P81*(1+S81+T81),2)</f>
        <v>0</v>
      </c>
      <c r="V81" s="11" t="n">
        <f aca="false">ROUND(Q81*(1+S81+T81),2)</f>
        <v>0</v>
      </c>
      <c r="W81" s="11" t="n">
        <f aca="false">ROUND(R81*(1+S81+T81),2)</f>
        <v>0</v>
      </c>
      <c r="X81" s="10"/>
    </row>
    <row r="82" customFormat="false" ht="32.8" hidden="false" customHeight="false" outlineLevel="0" collapsed="false">
      <c r="A82" s="10" t="n">
        <v>78</v>
      </c>
      <c r="B82" s="19" t="n">
        <v>45856</v>
      </c>
      <c r="C82" s="21" t="n">
        <f aca="false">YEAR(B82)</f>
        <v>2025</v>
      </c>
      <c r="D82" s="10" t="s">
        <v>260</v>
      </c>
      <c r="E82" s="10" t="s">
        <v>135</v>
      </c>
      <c r="F82" s="11" t="n">
        <v>-808</v>
      </c>
      <c r="G82" s="10" t="s">
        <v>181</v>
      </c>
      <c r="H82" s="10" t="s">
        <v>187</v>
      </c>
      <c r="I82" s="10" t="s">
        <v>261</v>
      </c>
      <c r="J82" s="10" t="s">
        <v>188</v>
      </c>
      <c r="K82" s="22" t="s">
        <v>184</v>
      </c>
      <c r="L82" s="10" t="str">
        <f aca="false">IF(AND(G82="entrada",F82&gt;=00_PARAMETROS!$B$7),"SIM","NÃO")</f>
        <v>NÃO</v>
      </c>
      <c r="M82" s="23"/>
      <c r="N82" s="24" t="n">
        <f aca="false">IFERROR(INDEX(00_PARAMETROS!$B$41:$B$54,MATCH(K82,00_PARAMETROS!$A$41:$A$54,0)),0)</f>
        <v>0</v>
      </c>
      <c r="O82" s="11" t="n">
        <f aca="false">IF(OR(G82&lt;&gt;"entrada",N82=0),0,IF(K82="VENDA_BEM_BR_GCAP",N(M82),F82))</f>
        <v>0</v>
      </c>
      <c r="P82" s="11" t="n">
        <f aca="false">ROUND(O82*N82,2)</f>
        <v>0</v>
      </c>
      <c r="Q82" s="11" t="n">
        <f aca="false">IF(AND(G82="entrada",K82="PENDENTE"),ROUND(F82*00_PARAMETROS!$B$12,2),0)</f>
        <v>0</v>
      </c>
      <c r="R82" s="11" t="n">
        <f aca="false">IF(AND(G82="entrada",K82="PENDENTE"),ROUND(F82*00_PARAMETROS!$B$13,2),0)</f>
        <v>0</v>
      </c>
      <c r="S82" s="24" t="n">
        <f aca="false">IF(P82+Q82&gt;0,SUMIFS(SELIC!$B$4:$B$96,SELIC!$A$4:$A$96,"&gt;="&amp;DATE(YEAR(B82),MONTH(B82)+1,1),SELIC!$A$4:$A$96,"&lt;="&amp;DATE(YEAR(00_PARAMETROS!$B$4),MONTH(00_PARAMETROS!$B$4)-1,1))+00_PARAMETROS!$B$11,0)</f>
        <v>0</v>
      </c>
      <c r="T82" s="24" t="n">
        <f aca="false">IF(P82+Q82&gt;0,MIN(00_PARAMETROS!$B$9,00_PARAMETROS!$B$8*MAX(0,00_PARAMETROS!$B$4-B82)),0)</f>
        <v>0</v>
      </c>
      <c r="U82" s="11" t="n">
        <f aca="false">ROUND(P82*(1+S82+T82),2)</f>
        <v>0</v>
      </c>
      <c r="V82" s="11" t="n">
        <f aca="false">ROUND(Q82*(1+S82+T82),2)</f>
        <v>0</v>
      </c>
      <c r="W82" s="11" t="n">
        <f aca="false">ROUND(R82*(1+S82+T82),2)</f>
        <v>0</v>
      </c>
      <c r="X82" s="10"/>
    </row>
    <row r="83" customFormat="false" ht="15" hidden="false" customHeight="false" outlineLevel="0" collapsed="false">
      <c r="A83" s="10" t="n">
        <v>79</v>
      </c>
      <c r="B83" s="19" t="n">
        <v>45857</v>
      </c>
      <c r="C83" s="21" t="n">
        <f aca="false">YEAR(B83)</f>
        <v>2025</v>
      </c>
      <c r="D83" s="10" t="s">
        <v>180</v>
      </c>
      <c r="E83" s="10" t="s">
        <v>180</v>
      </c>
      <c r="F83" s="11" t="n">
        <v>-18000</v>
      </c>
      <c r="G83" s="10" t="s">
        <v>181</v>
      </c>
      <c r="H83" s="10" t="s">
        <v>182</v>
      </c>
      <c r="I83" s="10" t="s">
        <v>261</v>
      </c>
      <c r="J83" s="10" t="s">
        <v>183</v>
      </c>
      <c r="K83" s="22" t="s">
        <v>184</v>
      </c>
      <c r="L83" s="10" t="str">
        <f aca="false">IF(AND(G83="entrada",F83&gt;=00_PARAMETROS!$B$7),"SIM","NÃO")</f>
        <v>NÃO</v>
      </c>
      <c r="M83" s="23"/>
      <c r="N83" s="24" t="n">
        <f aca="false">IFERROR(INDEX(00_PARAMETROS!$B$41:$B$54,MATCH(K83,00_PARAMETROS!$A$41:$A$54,0)),0)</f>
        <v>0</v>
      </c>
      <c r="O83" s="11" t="n">
        <f aca="false">IF(OR(G83&lt;&gt;"entrada",N83=0),0,IF(K83="VENDA_BEM_BR_GCAP",N(M83),F83))</f>
        <v>0</v>
      </c>
      <c r="P83" s="11" t="n">
        <f aca="false">ROUND(O83*N83,2)</f>
        <v>0</v>
      </c>
      <c r="Q83" s="11" t="n">
        <f aca="false">IF(AND(G83="entrada",K83="PENDENTE"),ROUND(F83*00_PARAMETROS!$B$12,2),0)</f>
        <v>0</v>
      </c>
      <c r="R83" s="11" t="n">
        <f aca="false">IF(AND(G83="entrada",K83="PENDENTE"),ROUND(F83*00_PARAMETROS!$B$13,2),0)</f>
        <v>0</v>
      </c>
      <c r="S83" s="24" t="n">
        <f aca="false">IF(P83+Q83&gt;0,SUMIFS(SELIC!$B$4:$B$96,SELIC!$A$4:$A$96,"&gt;="&amp;DATE(YEAR(B83),MONTH(B83)+1,1),SELIC!$A$4:$A$96,"&lt;="&amp;DATE(YEAR(00_PARAMETROS!$B$4),MONTH(00_PARAMETROS!$B$4)-1,1))+00_PARAMETROS!$B$11,0)</f>
        <v>0</v>
      </c>
      <c r="T83" s="24" t="n">
        <f aca="false">IF(P83+Q83&gt;0,MIN(00_PARAMETROS!$B$9,00_PARAMETROS!$B$8*MAX(0,00_PARAMETROS!$B$4-B83)),0)</f>
        <v>0</v>
      </c>
      <c r="U83" s="11" t="n">
        <f aca="false">ROUND(P83*(1+S83+T83),2)</f>
        <v>0</v>
      </c>
      <c r="V83" s="11" t="n">
        <f aca="false">ROUND(Q83*(1+S83+T83),2)</f>
        <v>0</v>
      </c>
      <c r="W83" s="11" t="n">
        <f aca="false">ROUND(R83*(1+S83+T83),2)</f>
        <v>0</v>
      </c>
      <c r="X83" s="10"/>
    </row>
    <row r="84" customFormat="false" ht="32.8" hidden="false" customHeight="false" outlineLevel="0" collapsed="false">
      <c r="A84" s="10" t="n">
        <v>80</v>
      </c>
      <c r="B84" s="19" t="n">
        <v>45858</v>
      </c>
      <c r="C84" s="21" t="n">
        <f aca="false">YEAR(B84)</f>
        <v>2025</v>
      </c>
      <c r="D84" s="10" t="s">
        <v>197</v>
      </c>
      <c r="E84" s="10" t="s">
        <v>132</v>
      </c>
      <c r="F84" s="11" t="n">
        <v>5000</v>
      </c>
      <c r="G84" s="10" t="s">
        <v>175</v>
      </c>
      <c r="H84" s="10" t="s">
        <v>187</v>
      </c>
      <c r="I84" s="10" t="s">
        <v>261</v>
      </c>
      <c r="J84" s="25" t="s">
        <v>190</v>
      </c>
      <c r="K84" s="22" t="s">
        <v>191</v>
      </c>
      <c r="L84" s="10" t="str">
        <f aca="false">IF(AND(G84="entrada",F84&gt;=00_PARAMETROS!$B$7),"SIM","NÃO")</f>
        <v>NÃO</v>
      </c>
      <c r="M84" s="23"/>
      <c r="N84" s="24" t="n">
        <f aca="false">IFERROR(INDEX(00_PARAMETROS!$B$41:$B$54,MATCH(K84,00_PARAMETROS!$A$41:$A$54,0)),0)</f>
        <v>0</v>
      </c>
      <c r="O84" s="11" t="n">
        <f aca="false">IF(OR(G84&lt;&gt;"entrada",N84=0),0,IF(K84="VENDA_BEM_BR_GCAP",N(M84),F84))</f>
        <v>0</v>
      </c>
      <c r="P84" s="11" t="n">
        <f aca="false">ROUND(O84*N84,2)</f>
        <v>0</v>
      </c>
      <c r="Q84" s="11" t="n">
        <f aca="false">IF(AND(G84="entrada",K84="PENDENTE"),ROUND(F84*00_PARAMETROS!$B$12,2),0)</f>
        <v>750</v>
      </c>
      <c r="R84" s="11" t="n">
        <f aca="false">IF(AND(G84="entrada",K84="PENDENTE"),ROUND(F84*00_PARAMETROS!$B$13,2),0)</f>
        <v>1250</v>
      </c>
      <c r="S84" s="24" t="n">
        <f aca="false">IF(P84+Q84&gt;0,SUMIFS(SELIC!$B$4:$B$96,SELIC!$A$4:$A$96,"&gt;="&amp;DATE(YEAR(B84),MONTH(B84)+1,1),SELIC!$A$4:$A$96,"&lt;="&amp;DATE(YEAR(00_PARAMETROS!$B$4),MONTH(00_PARAMETROS!$B$4)-1,1))+00_PARAMETROS!$B$11,0)</f>
        <v>0.1589</v>
      </c>
      <c r="T84" s="24" t="n">
        <f aca="false">IF(P84+Q84&gt;0,MIN(00_PARAMETROS!$B$9,00_PARAMETROS!$B$8*MAX(0,00_PARAMETROS!$B$4-B84)),0)</f>
        <v>0.2</v>
      </c>
      <c r="U84" s="11" t="n">
        <f aca="false">ROUND(P84*(1+S84+T84),2)</f>
        <v>0</v>
      </c>
      <c r="V84" s="11" t="n">
        <f aca="false">ROUND(Q84*(1+S84+T84),2)</f>
        <v>1019.18</v>
      </c>
      <c r="W84" s="11" t="n">
        <f aca="false">ROUND(R84*(1+S84+T84),2)</f>
        <v>1698.63</v>
      </c>
      <c r="X84" s="10"/>
    </row>
    <row r="85" customFormat="false" ht="32.8" hidden="false" customHeight="false" outlineLevel="0" collapsed="false">
      <c r="A85" s="10" t="n">
        <v>81</v>
      </c>
      <c r="B85" s="19" t="n">
        <v>45858</v>
      </c>
      <c r="C85" s="21" t="n">
        <f aca="false">YEAR(B85)</f>
        <v>2025</v>
      </c>
      <c r="D85" s="10" t="s">
        <v>194</v>
      </c>
      <c r="E85" s="10" t="s">
        <v>132</v>
      </c>
      <c r="F85" s="11" t="n">
        <v>2350</v>
      </c>
      <c r="G85" s="10" t="s">
        <v>175</v>
      </c>
      <c r="H85" s="10" t="s">
        <v>187</v>
      </c>
      <c r="I85" s="10" t="s">
        <v>261</v>
      </c>
      <c r="J85" s="25" t="s">
        <v>190</v>
      </c>
      <c r="K85" s="22" t="s">
        <v>191</v>
      </c>
      <c r="L85" s="10" t="str">
        <f aca="false">IF(AND(G85="entrada",F85&gt;=00_PARAMETROS!$B$7),"SIM","NÃO")</f>
        <v>NÃO</v>
      </c>
      <c r="M85" s="23"/>
      <c r="N85" s="24" t="n">
        <f aca="false">IFERROR(INDEX(00_PARAMETROS!$B$41:$B$54,MATCH(K85,00_PARAMETROS!$A$41:$A$54,0)),0)</f>
        <v>0</v>
      </c>
      <c r="O85" s="11" t="n">
        <f aca="false">IF(OR(G85&lt;&gt;"entrada",N85=0),0,IF(K85="VENDA_BEM_BR_GCAP",N(M85),F85))</f>
        <v>0</v>
      </c>
      <c r="P85" s="11" t="n">
        <f aca="false">ROUND(O85*N85,2)</f>
        <v>0</v>
      </c>
      <c r="Q85" s="11" t="n">
        <f aca="false">IF(AND(G85="entrada",K85="PENDENTE"),ROUND(F85*00_PARAMETROS!$B$12,2),0)</f>
        <v>352.5</v>
      </c>
      <c r="R85" s="11" t="n">
        <f aca="false">IF(AND(G85="entrada",K85="PENDENTE"),ROUND(F85*00_PARAMETROS!$B$13,2),0)</f>
        <v>587.5</v>
      </c>
      <c r="S85" s="24" t="n">
        <f aca="false">IF(P85+Q85&gt;0,SUMIFS(SELIC!$B$4:$B$96,SELIC!$A$4:$A$96,"&gt;="&amp;DATE(YEAR(B85),MONTH(B85)+1,1),SELIC!$A$4:$A$96,"&lt;="&amp;DATE(YEAR(00_PARAMETROS!$B$4),MONTH(00_PARAMETROS!$B$4)-1,1))+00_PARAMETROS!$B$11,0)</f>
        <v>0.1589</v>
      </c>
      <c r="T85" s="24" t="n">
        <f aca="false">IF(P85+Q85&gt;0,MIN(00_PARAMETROS!$B$9,00_PARAMETROS!$B$8*MAX(0,00_PARAMETROS!$B$4-B85)),0)</f>
        <v>0.2</v>
      </c>
      <c r="U85" s="11" t="n">
        <f aca="false">ROUND(P85*(1+S85+T85),2)</f>
        <v>0</v>
      </c>
      <c r="V85" s="11" t="n">
        <f aca="false">ROUND(Q85*(1+S85+T85),2)</f>
        <v>479.01</v>
      </c>
      <c r="W85" s="11" t="n">
        <f aca="false">ROUND(R85*(1+S85+T85),2)</f>
        <v>798.35</v>
      </c>
      <c r="X85" s="10"/>
    </row>
    <row r="86" customFormat="false" ht="15" hidden="false" customHeight="false" outlineLevel="0" collapsed="false">
      <c r="A86" s="10" t="n">
        <v>82</v>
      </c>
      <c r="B86" s="19" t="n">
        <v>45858</v>
      </c>
      <c r="C86" s="21" t="n">
        <f aca="false">YEAR(B86)</f>
        <v>2025</v>
      </c>
      <c r="D86" s="10" t="s">
        <v>180</v>
      </c>
      <c r="E86" s="10" t="s">
        <v>180</v>
      </c>
      <c r="F86" s="11" t="n">
        <v>-4982</v>
      </c>
      <c r="G86" s="10" t="s">
        <v>181</v>
      </c>
      <c r="H86" s="10" t="s">
        <v>182</v>
      </c>
      <c r="I86" s="10" t="s">
        <v>261</v>
      </c>
      <c r="J86" s="10" t="s">
        <v>183</v>
      </c>
      <c r="K86" s="22" t="s">
        <v>184</v>
      </c>
      <c r="L86" s="10" t="str">
        <f aca="false">IF(AND(G86="entrada",F86&gt;=00_PARAMETROS!$B$7),"SIM","NÃO")</f>
        <v>NÃO</v>
      </c>
      <c r="M86" s="23"/>
      <c r="N86" s="24" t="n">
        <f aca="false">IFERROR(INDEX(00_PARAMETROS!$B$41:$B$54,MATCH(K86,00_PARAMETROS!$A$41:$A$54,0)),0)</f>
        <v>0</v>
      </c>
      <c r="O86" s="11" t="n">
        <f aca="false">IF(OR(G86&lt;&gt;"entrada",N86=0),0,IF(K86="VENDA_BEM_BR_GCAP",N(M86),F86))</f>
        <v>0</v>
      </c>
      <c r="P86" s="11" t="n">
        <f aca="false">ROUND(O86*N86,2)</f>
        <v>0</v>
      </c>
      <c r="Q86" s="11" t="n">
        <f aca="false">IF(AND(G86="entrada",K86="PENDENTE"),ROUND(F86*00_PARAMETROS!$B$12,2),0)</f>
        <v>0</v>
      </c>
      <c r="R86" s="11" t="n">
        <f aca="false">IF(AND(G86="entrada",K86="PENDENTE"),ROUND(F86*00_PARAMETROS!$B$13,2),0)</f>
        <v>0</v>
      </c>
      <c r="S86" s="24" t="n">
        <f aca="false">IF(P86+Q86&gt;0,SUMIFS(SELIC!$B$4:$B$96,SELIC!$A$4:$A$96,"&gt;="&amp;DATE(YEAR(B86),MONTH(B86)+1,1),SELIC!$A$4:$A$96,"&lt;="&amp;DATE(YEAR(00_PARAMETROS!$B$4),MONTH(00_PARAMETROS!$B$4)-1,1))+00_PARAMETROS!$B$11,0)</f>
        <v>0</v>
      </c>
      <c r="T86" s="24" t="n">
        <f aca="false">IF(P86+Q86&gt;0,MIN(00_PARAMETROS!$B$9,00_PARAMETROS!$B$8*MAX(0,00_PARAMETROS!$B$4-B86)),0)</f>
        <v>0</v>
      </c>
      <c r="U86" s="11" t="n">
        <f aca="false">ROUND(P86*(1+S86+T86),2)</f>
        <v>0</v>
      </c>
      <c r="V86" s="11" t="n">
        <f aca="false">ROUND(Q86*(1+S86+T86),2)</f>
        <v>0</v>
      </c>
      <c r="W86" s="11" t="n">
        <f aca="false">ROUND(R86*(1+S86+T86),2)</f>
        <v>0</v>
      </c>
      <c r="X86" s="10"/>
    </row>
    <row r="87" customFormat="false" ht="32.8" hidden="false" customHeight="false" outlineLevel="0" collapsed="false">
      <c r="A87" s="10" t="n">
        <v>83</v>
      </c>
      <c r="B87" s="19" t="n">
        <v>45860</v>
      </c>
      <c r="C87" s="21" t="n">
        <f aca="false">YEAR(B87)</f>
        <v>2025</v>
      </c>
      <c r="D87" s="10" t="s">
        <v>264</v>
      </c>
      <c r="E87" s="10" t="s">
        <v>202</v>
      </c>
      <c r="F87" s="11" t="n">
        <v>-2000</v>
      </c>
      <c r="G87" s="10" t="s">
        <v>181</v>
      </c>
      <c r="H87" s="10" t="s">
        <v>187</v>
      </c>
      <c r="I87" s="10" t="s">
        <v>261</v>
      </c>
      <c r="J87" s="10" t="s">
        <v>188</v>
      </c>
      <c r="K87" s="22" t="s">
        <v>184</v>
      </c>
      <c r="L87" s="10" t="str">
        <f aca="false">IF(AND(G87="entrada",F87&gt;=00_PARAMETROS!$B$7),"SIM","NÃO")</f>
        <v>NÃO</v>
      </c>
      <c r="M87" s="23"/>
      <c r="N87" s="24" t="n">
        <f aca="false">IFERROR(INDEX(00_PARAMETROS!$B$41:$B$54,MATCH(K87,00_PARAMETROS!$A$41:$A$54,0)),0)</f>
        <v>0</v>
      </c>
      <c r="O87" s="11" t="n">
        <f aca="false">IF(OR(G87&lt;&gt;"entrada",N87=0),0,IF(K87="VENDA_BEM_BR_GCAP",N(M87),F87))</f>
        <v>0</v>
      </c>
      <c r="P87" s="11" t="n">
        <f aca="false">ROUND(O87*N87,2)</f>
        <v>0</v>
      </c>
      <c r="Q87" s="11" t="n">
        <f aca="false">IF(AND(G87="entrada",K87="PENDENTE"),ROUND(F87*00_PARAMETROS!$B$12,2),0)</f>
        <v>0</v>
      </c>
      <c r="R87" s="11" t="n">
        <f aca="false">IF(AND(G87="entrada",K87="PENDENTE"),ROUND(F87*00_PARAMETROS!$B$13,2),0)</f>
        <v>0</v>
      </c>
      <c r="S87" s="24" t="n">
        <f aca="false">IF(P87+Q87&gt;0,SUMIFS(SELIC!$B$4:$B$96,SELIC!$A$4:$A$96,"&gt;="&amp;DATE(YEAR(B87),MONTH(B87)+1,1),SELIC!$A$4:$A$96,"&lt;="&amp;DATE(YEAR(00_PARAMETROS!$B$4),MONTH(00_PARAMETROS!$B$4)-1,1))+00_PARAMETROS!$B$11,0)</f>
        <v>0</v>
      </c>
      <c r="T87" s="24" t="n">
        <f aca="false">IF(P87+Q87&gt;0,MIN(00_PARAMETROS!$B$9,00_PARAMETROS!$B$8*MAX(0,00_PARAMETROS!$B$4-B87)),0)</f>
        <v>0</v>
      </c>
      <c r="U87" s="11" t="n">
        <f aca="false">ROUND(P87*(1+S87+T87),2)</f>
        <v>0</v>
      </c>
      <c r="V87" s="11" t="n">
        <f aca="false">ROUND(Q87*(1+S87+T87),2)</f>
        <v>0</v>
      </c>
      <c r="W87" s="11" t="n">
        <f aca="false">ROUND(R87*(1+S87+T87),2)</f>
        <v>0</v>
      </c>
      <c r="X87" s="10"/>
    </row>
    <row r="88" customFormat="false" ht="22.35" hidden="false" customHeight="false" outlineLevel="0" collapsed="false">
      <c r="A88" s="10" t="n">
        <v>84</v>
      </c>
      <c r="B88" s="19" t="n">
        <v>45862</v>
      </c>
      <c r="C88" s="21" t="n">
        <f aca="false">YEAR(B88)</f>
        <v>2025</v>
      </c>
      <c r="D88" s="10" t="s">
        <v>256</v>
      </c>
      <c r="E88" s="10" t="s">
        <v>256</v>
      </c>
      <c r="F88" s="11" t="n">
        <v>1000</v>
      </c>
      <c r="G88" s="10" t="s">
        <v>175</v>
      </c>
      <c r="H88" s="10" t="s">
        <v>182</v>
      </c>
      <c r="I88" s="10" t="s">
        <v>261</v>
      </c>
      <c r="J88" s="10" t="s">
        <v>258</v>
      </c>
      <c r="K88" s="22" t="s">
        <v>259</v>
      </c>
      <c r="L88" s="10" t="str">
        <f aca="false">IF(AND(G88="entrada",F88&gt;=00_PARAMETROS!$B$7),"SIM","NÃO")</f>
        <v>NÃO</v>
      </c>
      <c r="M88" s="23"/>
      <c r="N88" s="24" t="n">
        <f aca="false">IFERROR(INDEX(00_PARAMETROS!$B$41:$B$54,MATCH(K88,00_PARAMETROS!$A$41:$A$54,0)),0)</f>
        <v>0</v>
      </c>
      <c r="O88" s="11" t="n">
        <f aca="false">IF(OR(G88&lt;&gt;"entrada",N88=0),0,IF(K88="VENDA_BEM_BR_GCAP",N(M88),F88))</f>
        <v>0</v>
      </c>
      <c r="P88" s="11" t="n">
        <f aca="false">ROUND(O88*N88,2)</f>
        <v>0</v>
      </c>
      <c r="Q88" s="11" t="n">
        <f aca="false">IF(AND(G88="entrada",K88="PENDENTE"),ROUND(F88*00_PARAMETROS!$B$12,2),0)</f>
        <v>0</v>
      </c>
      <c r="R88" s="11" t="n">
        <f aca="false">IF(AND(G88="entrada",K88="PENDENTE"),ROUND(F88*00_PARAMETROS!$B$13,2),0)</f>
        <v>0</v>
      </c>
      <c r="S88" s="24" t="n">
        <f aca="false">IF(P88+Q88&gt;0,SUMIFS(SELIC!$B$4:$B$96,SELIC!$A$4:$A$96,"&gt;="&amp;DATE(YEAR(B88),MONTH(B88)+1,1),SELIC!$A$4:$A$96,"&lt;="&amp;DATE(YEAR(00_PARAMETROS!$B$4),MONTH(00_PARAMETROS!$B$4)-1,1))+00_PARAMETROS!$B$11,0)</f>
        <v>0</v>
      </c>
      <c r="T88" s="24" t="n">
        <f aca="false">IF(P88+Q88&gt;0,MIN(00_PARAMETROS!$B$9,00_PARAMETROS!$B$8*MAX(0,00_PARAMETROS!$B$4-B88)),0)</f>
        <v>0</v>
      </c>
      <c r="U88" s="11" t="n">
        <f aca="false">ROUND(P88*(1+S88+T88),2)</f>
        <v>0</v>
      </c>
      <c r="V88" s="11" t="n">
        <f aca="false">ROUND(Q88*(1+S88+T88),2)</f>
        <v>0</v>
      </c>
      <c r="W88" s="11" t="n">
        <f aca="false">ROUND(R88*(1+S88+T88),2)</f>
        <v>0</v>
      </c>
      <c r="X88" s="10"/>
    </row>
    <row r="89" customFormat="false" ht="43.25" hidden="false" customHeight="false" outlineLevel="0" collapsed="false">
      <c r="A89" s="10" t="n">
        <v>85</v>
      </c>
      <c r="B89" s="19" t="n">
        <v>45862</v>
      </c>
      <c r="C89" s="21" t="n">
        <f aca="false">YEAR(B89)</f>
        <v>2025</v>
      </c>
      <c r="D89" s="10" t="s">
        <v>265</v>
      </c>
      <c r="E89" s="10" t="s">
        <v>266</v>
      </c>
      <c r="F89" s="11" t="n">
        <v>-1000</v>
      </c>
      <c r="G89" s="10" t="s">
        <v>181</v>
      </c>
      <c r="H89" s="10" t="s">
        <v>187</v>
      </c>
      <c r="I89" s="10" t="s">
        <v>261</v>
      </c>
      <c r="J89" s="10" t="s">
        <v>188</v>
      </c>
      <c r="K89" s="22" t="s">
        <v>184</v>
      </c>
      <c r="L89" s="10" t="str">
        <f aca="false">IF(AND(G89="entrada",F89&gt;=00_PARAMETROS!$B$7),"SIM","NÃO")</f>
        <v>NÃO</v>
      </c>
      <c r="M89" s="23"/>
      <c r="N89" s="24" t="n">
        <f aca="false">IFERROR(INDEX(00_PARAMETROS!$B$41:$B$54,MATCH(K89,00_PARAMETROS!$A$41:$A$54,0)),0)</f>
        <v>0</v>
      </c>
      <c r="O89" s="11" t="n">
        <f aca="false">IF(OR(G89&lt;&gt;"entrada",N89=0),0,IF(K89="VENDA_BEM_BR_GCAP",N(M89),F89))</f>
        <v>0</v>
      </c>
      <c r="P89" s="11" t="n">
        <f aca="false">ROUND(O89*N89,2)</f>
        <v>0</v>
      </c>
      <c r="Q89" s="11" t="n">
        <f aca="false">IF(AND(G89="entrada",K89="PENDENTE"),ROUND(F89*00_PARAMETROS!$B$12,2),0)</f>
        <v>0</v>
      </c>
      <c r="R89" s="11" t="n">
        <f aca="false">IF(AND(G89="entrada",K89="PENDENTE"),ROUND(F89*00_PARAMETROS!$B$13,2),0)</f>
        <v>0</v>
      </c>
      <c r="S89" s="24" t="n">
        <f aca="false">IF(P89+Q89&gt;0,SUMIFS(SELIC!$B$4:$B$96,SELIC!$A$4:$A$96,"&gt;="&amp;DATE(YEAR(B89),MONTH(B89)+1,1),SELIC!$A$4:$A$96,"&lt;="&amp;DATE(YEAR(00_PARAMETROS!$B$4),MONTH(00_PARAMETROS!$B$4)-1,1))+00_PARAMETROS!$B$11,0)</f>
        <v>0</v>
      </c>
      <c r="T89" s="24" t="n">
        <f aca="false">IF(P89+Q89&gt;0,MIN(00_PARAMETROS!$B$9,00_PARAMETROS!$B$8*MAX(0,00_PARAMETROS!$B$4-B89)),0)</f>
        <v>0</v>
      </c>
      <c r="U89" s="11" t="n">
        <f aca="false">ROUND(P89*(1+S89+T89),2)</f>
        <v>0</v>
      </c>
      <c r="V89" s="11" t="n">
        <f aca="false">ROUND(Q89*(1+S89+T89),2)</f>
        <v>0</v>
      </c>
      <c r="W89" s="11" t="n">
        <f aca="false">ROUND(R89*(1+S89+T89),2)</f>
        <v>0</v>
      </c>
      <c r="X89" s="10"/>
    </row>
    <row r="90" customFormat="false" ht="22.35" hidden="false" customHeight="false" outlineLevel="0" collapsed="false">
      <c r="A90" s="10" t="n">
        <v>86</v>
      </c>
      <c r="B90" s="19" t="n">
        <v>45866</v>
      </c>
      <c r="C90" s="21" t="n">
        <f aca="false">YEAR(B90)</f>
        <v>2025</v>
      </c>
      <c r="D90" s="10" t="s">
        <v>256</v>
      </c>
      <c r="E90" s="10" t="s">
        <v>256</v>
      </c>
      <c r="F90" s="11" t="n">
        <v>1000</v>
      </c>
      <c r="G90" s="10" t="s">
        <v>175</v>
      </c>
      <c r="H90" s="10" t="s">
        <v>182</v>
      </c>
      <c r="I90" s="10" t="s">
        <v>261</v>
      </c>
      <c r="J90" s="10" t="s">
        <v>258</v>
      </c>
      <c r="K90" s="22" t="s">
        <v>259</v>
      </c>
      <c r="L90" s="10" t="str">
        <f aca="false">IF(AND(G90="entrada",F90&gt;=00_PARAMETROS!$B$7),"SIM","NÃO")</f>
        <v>NÃO</v>
      </c>
      <c r="M90" s="23"/>
      <c r="N90" s="24" t="n">
        <f aca="false">IFERROR(INDEX(00_PARAMETROS!$B$41:$B$54,MATCH(K90,00_PARAMETROS!$A$41:$A$54,0)),0)</f>
        <v>0</v>
      </c>
      <c r="O90" s="11" t="n">
        <f aca="false">IF(OR(G90&lt;&gt;"entrada",N90=0),0,IF(K90="VENDA_BEM_BR_GCAP",N(M90),F90))</f>
        <v>0</v>
      </c>
      <c r="P90" s="11" t="n">
        <f aca="false">ROUND(O90*N90,2)</f>
        <v>0</v>
      </c>
      <c r="Q90" s="11" t="n">
        <f aca="false">IF(AND(G90="entrada",K90="PENDENTE"),ROUND(F90*00_PARAMETROS!$B$12,2),0)</f>
        <v>0</v>
      </c>
      <c r="R90" s="11" t="n">
        <f aca="false">IF(AND(G90="entrada",K90="PENDENTE"),ROUND(F90*00_PARAMETROS!$B$13,2),0)</f>
        <v>0</v>
      </c>
      <c r="S90" s="24" t="n">
        <f aca="false">IF(P90+Q90&gt;0,SUMIFS(SELIC!$B$4:$B$96,SELIC!$A$4:$A$96,"&gt;="&amp;DATE(YEAR(B90),MONTH(B90)+1,1),SELIC!$A$4:$A$96,"&lt;="&amp;DATE(YEAR(00_PARAMETROS!$B$4),MONTH(00_PARAMETROS!$B$4)-1,1))+00_PARAMETROS!$B$11,0)</f>
        <v>0</v>
      </c>
      <c r="T90" s="24" t="n">
        <f aca="false">IF(P90+Q90&gt;0,MIN(00_PARAMETROS!$B$9,00_PARAMETROS!$B$8*MAX(0,00_PARAMETROS!$B$4-B90)),0)</f>
        <v>0</v>
      </c>
      <c r="U90" s="11" t="n">
        <f aca="false">ROUND(P90*(1+S90+T90),2)</f>
        <v>0</v>
      </c>
      <c r="V90" s="11" t="n">
        <f aca="false">ROUND(Q90*(1+S90+T90),2)</f>
        <v>0</v>
      </c>
      <c r="W90" s="11" t="n">
        <f aca="false">ROUND(R90*(1+S90+T90),2)</f>
        <v>0</v>
      </c>
      <c r="X90" s="10"/>
    </row>
    <row r="91" customFormat="false" ht="22.35" hidden="false" customHeight="false" outlineLevel="0" collapsed="false">
      <c r="A91" s="10" t="n">
        <v>87</v>
      </c>
      <c r="B91" s="19" t="n">
        <v>45866</v>
      </c>
      <c r="C91" s="21" t="n">
        <f aca="false">YEAR(B91)</f>
        <v>2025</v>
      </c>
      <c r="D91" s="10" t="s">
        <v>256</v>
      </c>
      <c r="E91" s="10" t="s">
        <v>256</v>
      </c>
      <c r="F91" s="11" t="n">
        <v>4000</v>
      </c>
      <c r="G91" s="10" t="s">
        <v>175</v>
      </c>
      <c r="H91" s="10" t="s">
        <v>182</v>
      </c>
      <c r="I91" s="10" t="s">
        <v>261</v>
      </c>
      <c r="J91" s="10" t="s">
        <v>258</v>
      </c>
      <c r="K91" s="22" t="s">
        <v>259</v>
      </c>
      <c r="L91" s="10" t="str">
        <f aca="false">IF(AND(G91="entrada",F91&gt;=00_PARAMETROS!$B$7),"SIM","NÃO")</f>
        <v>NÃO</v>
      </c>
      <c r="M91" s="23"/>
      <c r="N91" s="24" t="n">
        <f aca="false">IFERROR(INDEX(00_PARAMETROS!$B$41:$B$54,MATCH(K91,00_PARAMETROS!$A$41:$A$54,0)),0)</f>
        <v>0</v>
      </c>
      <c r="O91" s="11" t="n">
        <f aca="false">IF(OR(G91&lt;&gt;"entrada",N91=0),0,IF(K91="VENDA_BEM_BR_GCAP",N(M91),F91))</f>
        <v>0</v>
      </c>
      <c r="P91" s="11" t="n">
        <f aca="false">ROUND(O91*N91,2)</f>
        <v>0</v>
      </c>
      <c r="Q91" s="11" t="n">
        <f aca="false">IF(AND(G91="entrada",K91="PENDENTE"),ROUND(F91*00_PARAMETROS!$B$12,2),0)</f>
        <v>0</v>
      </c>
      <c r="R91" s="11" t="n">
        <f aca="false">IF(AND(G91="entrada",K91="PENDENTE"),ROUND(F91*00_PARAMETROS!$B$13,2),0)</f>
        <v>0</v>
      </c>
      <c r="S91" s="24" t="n">
        <f aca="false">IF(P91+Q91&gt;0,SUMIFS(SELIC!$B$4:$B$96,SELIC!$A$4:$A$96,"&gt;="&amp;DATE(YEAR(B91),MONTH(B91)+1,1),SELIC!$A$4:$A$96,"&lt;="&amp;DATE(YEAR(00_PARAMETROS!$B$4),MONTH(00_PARAMETROS!$B$4)-1,1))+00_PARAMETROS!$B$11,0)</f>
        <v>0</v>
      </c>
      <c r="T91" s="24" t="n">
        <f aca="false">IF(P91+Q91&gt;0,MIN(00_PARAMETROS!$B$9,00_PARAMETROS!$B$8*MAX(0,00_PARAMETROS!$B$4-B91)),0)</f>
        <v>0</v>
      </c>
      <c r="U91" s="11" t="n">
        <f aca="false">ROUND(P91*(1+S91+T91),2)</f>
        <v>0</v>
      </c>
      <c r="V91" s="11" t="n">
        <f aca="false">ROUND(Q91*(1+S91+T91),2)</f>
        <v>0</v>
      </c>
      <c r="W91" s="11" t="n">
        <f aca="false">ROUND(R91*(1+S91+T91),2)</f>
        <v>0</v>
      </c>
      <c r="X91" s="10"/>
    </row>
    <row r="92" customFormat="false" ht="32.8" hidden="false" customHeight="false" outlineLevel="0" collapsed="false">
      <c r="A92" s="10" t="n">
        <v>88</v>
      </c>
      <c r="B92" s="19" t="n">
        <v>45866</v>
      </c>
      <c r="C92" s="21" t="n">
        <f aca="false">YEAR(B92)</f>
        <v>2025</v>
      </c>
      <c r="D92" s="10" t="s">
        <v>267</v>
      </c>
      <c r="E92" s="10" t="s">
        <v>268</v>
      </c>
      <c r="F92" s="11" t="n">
        <v>-150</v>
      </c>
      <c r="G92" s="10" t="s">
        <v>181</v>
      </c>
      <c r="H92" s="10" t="s">
        <v>187</v>
      </c>
      <c r="I92" s="10" t="s">
        <v>261</v>
      </c>
      <c r="J92" s="10" t="s">
        <v>188</v>
      </c>
      <c r="K92" s="22" t="s">
        <v>184</v>
      </c>
      <c r="L92" s="10" t="str">
        <f aca="false">IF(AND(G92="entrada",F92&gt;=00_PARAMETROS!$B$7),"SIM","NÃO")</f>
        <v>NÃO</v>
      </c>
      <c r="M92" s="23"/>
      <c r="N92" s="24" t="n">
        <f aca="false">IFERROR(INDEX(00_PARAMETROS!$B$41:$B$54,MATCH(K92,00_PARAMETROS!$A$41:$A$54,0)),0)</f>
        <v>0</v>
      </c>
      <c r="O92" s="11" t="n">
        <f aca="false">IF(OR(G92&lt;&gt;"entrada",N92=0),0,IF(K92="VENDA_BEM_BR_GCAP",N(M92),F92))</f>
        <v>0</v>
      </c>
      <c r="P92" s="11" t="n">
        <f aca="false">ROUND(O92*N92,2)</f>
        <v>0</v>
      </c>
      <c r="Q92" s="11" t="n">
        <f aca="false">IF(AND(G92="entrada",K92="PENDENTE"),ROUND(F92*00_PARAMETROS!$B$12,2),0)</f>
        <v>0</v>
      </c>
      <c r="R92" s="11" t="n">
        <f aca="false">IF(AND(G92="entrada",K92="PENDENTE"),ROUND(F92*00_PARAMETROS!$B$13,2),0)</f>
        <v>0</v>
      </c>
      <c r="S92" s="24" t="n">
        <f aca="false">IF(P92+Q92&gt;0,SUMIFS(SELIC!$B$4:$B$96,SELIC!$A$4:$A$96,"&gt;="&amp;DATE(YEAR(B92),MONTH(B92)+1,1),SELIC!$A$4:$A$96,"&lt;="&amp;DATE(YEAR(00_PARAMETROS!$B$4),MONTH(00_PARAMETROS!$B$4)-1,1))+00_PARAMETROS!$B$11,0)</f>
        <v>0</v>
      </c>
      <c r="T92" s="24" t="n">
        <f aca="false">IF(P92+Q92&gt;0,MIN(00_PARAMETROS!$B$9,00_PARAMETROS!$B$8*MAX(0,00_PARAMETROS!$B$4-B92)),0)</f>
        <v>0</v>
      </c>
      <c r="U92" s="11" t="n">
        <f aca="false">ROUND(P92*(1+S92+T92),2)</f>
        <v>0</v>
      </c>
      <c r="V92" s="11" t="n">
        <f aca="false">ROUND(Q92*(1+S92+T92),2)</f>
        <v>0</v>
      </c>
      <c r="W92" s="11" t="n">
        <f aca="false">ROUND(R92*(1+S92+T92),2)</f>
        <v>0</v>
      </c>
      <c r="X92" s="10"/>
    </row>
    <row r="93" customFormat="false" ht="32.8" hidden="false" customHeight="false" outlineLevel="0" collapsed="false">
      <c r="A93" s="10" t="n">
        <v>89</v>
      </c>
      <c r="B93" s="19" t="n">
        <v>45866</v>
      </c>
      <c r="C93" s="21" t="n">
        <f aca="false">YEAR(B93)</f>
        <v>2025</v>
      </c>
      <c r="D93" s="10" t="s">
        <v>269</v>
      </c>
      <c r="E93" s="10" t="s">
        <v>270</v>
      </c>
      <c r="F93" s="11" t="n">
        <v>-5000</v>
      </c>
      <c r="G93" s="10" t="s">
        <v>181</v>
      </c>
      <c r="H93" s="10" t="s">
        <v>187</v>
      </c>
      <c r="I93" s="10" t="s">
        <v>261</v>
      </c>
      <c r="J93" s="10" t="s">
        <v>271</v>
      </c>
      <c r="K93" s="22" t="s">
        <v>184</v>
      </c>
      <c r="L93" s="10" t="str">
        <f aca="false">IF(AND(G93="entrada",F93&gt;=00_PARAMETROS!$B$7),"SIM","NÃO")</f>
        <v>NÃO</v>
      </c>
      <c r="M93" s="23"/>
      <c r="N93" s="24" t="n">
        <f aca="false">IFERROR(INDEX(00_PARAMETROS!$B$41:$B$54,MATCH(K93,00_PARAMETROS!$A$41:$A$54,0)),0)</f>
        <v>0</v>
      </c>
      <c r="O93" s="11" t="n">
        <f aca="false">IF(OR(G93&lt;&gt;"entrada",N93=0),0,IF(K93="VENDA_BEM_BR_GCAP",N(M93),F93))</f>
        <v>0</v>
      </c>
      <c r="P93" s="11" t="n">
        <f aca="false">ROUND(O93*N93,2)</f>
        <v>0</v>
      </c>
      <c r="Q93" s="11" t="n">
        <f aca="false">IF(AND(G93="entrada",K93="PENDENTE"),ROUND(F93*00_PARAMETROS!$B$12,2),0)</f>
        <v>0</v>
      </c>
      <c r="R93" s="11" t="n">
        <f aca="false">IF(AND(G93="entrada",K93="PENDENTE"),ROUND(F93*00_PARAMETROS!$B$13,2),0)</f>
        <v>0</v>
      </c>
      <c r="S93" s="24" t="n">
        <f aca="false">IF(P93+Q93&gt;0,SUMIFS(SELIC!$B$4:$B$96,SELIC!$A$4:$A$96,"&gt;="&amp;DATE(YEAR(B93),MONTH(B93)+1,1),SELIC!$A$4:$A$96,"&lt;="&amp;DATE(YEAR(00_PARAMETROS!$B$4),MONTH(00_PARAMETROS!$B$4)-1,1))+00_PARAMETROS!$B$11,0)</f>
        <v>0</v>
      </c>
      <c r="T93" s="24" t="n">
        <f aca="false">IF(P93+Q93&gt;0,MIN(00_PARAMETROS!$B$9,00_PARAMETROS!$B$8*MAX(0,00_PARAMETROS!$B$4-B93)),0)</f>
        <v>0</v>
      </c>
      <c r="U93" s="11" t="n">
        <f aca="false">ROUND(P93*(1+S93+T93),2)</f>
        <v>0</v>
      </c>
      <c r="V93" s="11" t="n">
        <f aca="false">ROUND(Q93*(1+S93+T93),2)</f>
        <v>0</v>
      </c>
      <c r="W93" s="11" t="n">
        <f aca="false">ROUND(R93*(1+S93+T93),2)</f>
        <v>0</v>
      </c>
      <c r="X93" s="10" t="s">
        <v>272</v>
      </c>
    </row>
    <row r="94" customFormat="false" ht="22.35" hidden="false" customHeight="false" outlineLevel="0" collapsed="false">
      <c r="A94" s="10" t="n">
        <v>90</v>
      </c>
      <c r="B94" s="19" t="n">
        <v>45867</v>
      </c>
      <c r="C94" s="21" t="n">
        <f aca="false">YEAR(B94)</f>
        <v>2025</v>
      </c>
      <c r="D94" s="10" t="s">
        <v>256</v>
      </c>
      <c r="E94" s="10" t="s">
        <v>256</v>
      </c>
      <c r="F94" s="11" t="n">
        <v>5000</v>
      </c>
      <c r="G94" s="10" t="s">
        <v>175</v>
      </c>
      <c r="H94" s="10" t="s">
        <v>182</v>
      </c>
      <c r="I94" s="10" t="s">
        <v>261</v>
      </c>
      <c r="J94" s="10" t="s">
        <v>258</v>
      </c>
      <c r="K94" s="22" t="s">
        <v>259</v>
      </c>
      <c r="L94" s="10" t="str">
        <f aca="false">IF(AND(G94="entrada",F94&gt;=00_PARAMETROS!$B$7),"SIM","NÃO")</f>
        <v>NÃO</v>
      </c>
      <c r="M94" s="23"/>
      <c r="N94" s="24" t="n">
        <f aca="false">IFERROR(INDEX(00_PARAMETROS!$B$41:$B$54,MATCH(K94,00_PARAMETROS!$A$41:$A$54,0)),0)</f>
        <v>0</v>
      </c>
      <c r="O94" s="11" t="n">
        <f aca="false">IF(OR(G94&lt;&gt;"entrada",N94=0),0,IF(K94="VENDA_BEM_BR_GCAP",N(M94),F94))</f>
        <v>0</v>
      </c>
      <c r="P94" s="11" t="n">
        <f aca="false">ROUND(O94*N94,2)</f>
        <v>0</v>
      </c>
      <c r="Q94" s="11" t="n">
        <f aca="false">IF(AND(G94="entrada",K94="PENDENTE"),ROUND(F94*00_PARAMETROS!$B$12,2),0)</f>
        <v>0</v>
      </c>
      <c r="R94" s="11" t="n">
        <f aca="false">IF(AND(G94="entrada",K94="PENDENTE"),ROUND(F94*00_PARAMETROS!$B$13,2),0)</f>
        <v>0</v>
      </c>
      <c r="S94" s="24" t="n">
        <f aca="false">IF(P94+Q94&gt;0,SUMIFS(SELIC!$B$4:$B$96,SELIC!$A$4:$A$96,"&gt;="&amp;DATE(YEAR(B94),MONTH(B94)+1,1),SELIC!$A$4:$A$96,"&lt;="&amp;DATE(YEAR(00_PARAMETROS!$B$4),MONTH(00_PARAMETROS!$B$4)-1,1))+00_PARAMETROS!$B$11,0)</f>
        <v>0</v>
      </c>
      <c r="T94" s="24" t="n">
        <f aca="false">IF(P94+Q94&gt;0,MIN(00_PARAMETROS!$B$9,00_PARAMETROS!$B$8*MAX(0,00_PARAMETROS!$B$4-B94)),0)</f>
        <v>0</v>
      </c>
      <c r="U94" s="11" t="n">
        <f aca="false">ROUND(P94*(1+S94+T94),2)</f>
        <v>0</v>
      </c>
      <c r="V94" s="11" t="n">
        <f aca="false">ROUND(Q94*(1+S94+T94),2)</f>
        <v>0</v>
      </c>
      <c r="W94" s="11" t="n">
        <f aca="false">ROUND(R94*(1+S94+T94),2)</f>
        <v>0</v>
      </c>
      <c r="X94" s="10"/>
    </row>
    <row r="95" customFormat="false" ht="43.25" hidden="false" customHeight="false" outlineLevel="0" collapsed="false">
      <c r="A95" s="10" t="n">
        <v>91</v>
      </c>
      <c r="B95" s="19" t="n">
        <v>45867</v>
      </c>
      <c r="C95" s="21" t="n">
        <f aca="false">YEAR(B95)</f>
        <v>2025</v>
      </c>
      <c r="D95" s="10" t="s">
        <v>273</v>
      </c>
      <c r="E95" s="10" t="s">
        <v>138</v>
      </c>
      <c r="F95" s="11" t="n">
        <v>49000</v>
      </c>
      <c r="G95" s="10" t="s">
        <v>175</v>
      </c>
      <c r="H95" s="10" t="s">
        <v>187</v>
      </c>
      <c r="I95" s="10" t="s">
        <v>261</v>
      </c>
      <c r="J95" s="25" t="s">
        <v>190</v>
      </c>
      <c r="K95" s="22" t="s">
        <v>191</v>
      </c>
      <c r="L95" s="10" t="str">
        <f aca="false">IF(AND(G95="entrada",F95&gt;=00_PARAMETROS!$B$7),"SIM","NÃO")</f>
        <v>SIM</v>
      </c>
      <c r="M95" s="23"/>
      <c r="N95" s="24" t="n">
        <f aca="false">IFERROR(INDEX(00_PARAMETROS!$B$41:$B$54,MATCH(K95,00_PARAMETROS!$A$41:$A$54,0)),0)</f>
        <v>0</v>
      </c>
      <c r="O95" s="11" t="n">
        <f aca="false">IF(OR(G95&lt;&gt;"entrada",N95=0),0,IF(K95="VENDA_BEM_BR_GCAP",N(M95),F95))</f>
        <v>0</v>
      </c>
      <c r="P95" s="11" t="n">
        <f aca="false">ROUND(O95*N95,2)</f>
        <v>0</v>
      </c>
      <c r="Q95" s="11" t="n">
        <f aca="false">IF(AND(G95="entrada",K95="PENDENTE"),ROUND(F95*00_PARAMETROS!$B$12,2),0)</f>
        <v>7350</v>
      </c>
      <c r="R95" s="11" t="n">
        <f aca="false">IF(AND(G95="entrada",K95="PENDENTE"),ROUND(F95*00_PARAMETROS!$B$13,2),0)</f>
        <v>12250</v>
      </c>
      <c r="S95" s="24" t="n">
        <f aca="false">IF(P95+Q95&gt;0,SUMIFS(SELIC!$B$4:$B$96,SELIC!$A$4:$A$96,"&gt;="&amp;DATE(YEAR(B95),MONTH(B95)+1,1),SELIC!$A$4:$A$96,"&lt;="&amp;DATE(YEAR(00_PARAMETROS!$B$4),MONTH(00_PARAMETROS!$B$4)-1,1))+00_PARAMETROS!$B$11,0)</f>
        <v>0.1589</v>
      </c>
      <c r="T95" s="24" t="n">
        <f aca="false">IF(P95+Q95&gt;0,MIN(00_PARAMETROS!$B$9,00_PARAMETROS!$B$8*MAX(0,00_PARAMETROS!$B$4-B95)),0)</f>
        <v>0.2</v>
      </c>
      <c r="U95" s="11" t="n">
        <f aca="false">ROUND(P95*(1+S95+T95),2)</f>
        <v>0</v>
      </c>
      <c r="V95" s="11" t="n">
        <f aca="false">ROUND(Q95*(1+S95+T95),2)</f>
        <v>9987.92</v>
      </c>
      <c r="W95" s="11" t="n">
        <f aca="false">ROUND(R95*(1+S95+T95),2)</f>
        <v>16646.53</v>
      </c>
      <c r="X95" s="10"/>
    </row>
    <row r="96" customFormat="false" ht="32.8" hidden="false" customHeight="false" outlineLevel="0" collapsed="false">
      <c r="A96" s="10" t="n">
        <v>92</v>
      </c>
      <c r="B96" s="19" t="n">
        <v>45867</v>
      </c>
      <c r="C96" s="21" t="n">
        <f aca="false">YEAR(B96)</f>
        <v>2025</v>
      </c>
      <c r="D96" s="10" t="s">
        <v>274</v>
      </c>
      <c r="E96" s="10" t="s">
        <v>275</v>
      </c>
      <c r="F96" s="11" t="n">
        <v>-5000</v>
      </c>
      <c r="G96" s="10" t="s">
        <v>181</v>
      </c>
      <c r="H96" s="10" t="s">
        <v>187</v>
      </c>
      <c r="I96" s="10" t="s">
        <v>261</v>
      </c>
      <c r="J96" s="10" t="s">
        <v>276</v>
      </c>
      <c r="K96" s="22" t="s">
        <v>184</v>
      </c>
      <c r="L96" s="10" t="str">
        <f aca="false">IF(AND(G96="entrada",F96&gt;=00_PARAMETROS!$B$7),"SIM","NÃO")</f>
        <v>NÃO</v>
      </c>
      <c r="M96" s="23"/>
      <c r="N96" s="24" t="n">
        <f aca="false">IFERROR(INDEX(00_PARAMETROS!$B$41:$B$54,MATCH(K96,00_PARAMETROS!$A$41:$A$54,0)),0)</f>
        <v>0</v>
      </c>
      <c r="O96" s="11" t="n">
        <f aca="false">IF(OR(G96&lt;&gt;"entrada",N96=0),0,IF(K96="VENDA_BEM_BR_GCAP",N(M96),F96))</f>
        <v>0</v>
      </c>
      <c r="P96" s="11" t="n">
        <f aca="false">ROUND(O96*N96,2)</f>
        <v>0</v>
      </c>
      <c r="Q96" s="11" t="n">
        <f aca="false">IF(AND(G96="entrada",K96="PENDENTE"),ROUND(F96*00_PARAMETROS!$B$12,2),0)</f>
        <v>0</v>
      </c>
      <c r="R96" s="11" t="n">
        <f aca="false">IF(AND(G96="entrada",K96="PENDENTE"),ROUND(F96*00_PARAMETROS!$B$13,2),0)</f>
        <v>0</v>
      </c>
      <c r="S96" s="24" t="n">
        <f aca="false">IF(P96+Q96&gt;0,SUMIFS(SELIC!$B$4:$B$96,SELIC!$A$4:$A$96,"&gt;="&amp;DATE(YEAR(B96),MONTH(B96)+1,1),SELIC!$A$4:$A$96,"&lt;="&amp;DATE(YEAR(00_PARAMETROS!$B$4),MONTH(00_PARAMETROS!$B$4)-1,1))+00_PARAMETROS!$B$11,0)</f>
        <v>0</v>
      </c>
      <c r="T96" s="24" t="n">
        <f aca="false">IF(P96+Q96&gt;0,MIN(00_PARAMETROS!$B$9,00_PARAMETROS!$B$8*MAX(0,00_PARAMETROS!$B$4-B96)),0)</f>
        <v>0</v>
      </c>
      <c r="U96" s="11" t="n">
        <f aca="false">ROUND(P96*(1+S96+T96),2)</f>
        <v>0</v>
      </c>
      <c r="V96" s="11" t="n">
        <f aca="false">ROUND(Q96*(1+S96+T96),2)</f>
        <v>0</v>
      </c>
      <c r="W96" s="11" t="n">
        <f aca="false">ROUND(R96*(1+S96+T96),2)</f>
        <v>0</v>
      </c>
      <c r="X96" s="10" t="s">
        <v>277</v>
      </c>
    </row>
    <row r="97" customFormat="false" ht="32.8" hidden="false" customHeight="false" outlineLevel="0" collapsed="false">
      <c r="A97" s="10" t="n">
        <v>93</v>
      </c>
      <c r="B97" s="19" t="n">
        <v>45868</v>
      </c>
      <c r="C97" s="21" t="n">
        <f aca="false">YEAR(B97)</f>
        <v>2025</v>
      </c>
      <c r="D97" s="10" t="s">
        <v>278</v>
      </c>
      <c r="E97" s="10" t="s">
        <v>137</v>
      </c>
      <c r="F97" s="11" t="n">
        <v>51000</v>
      </c>
      <c r="G97" s="10" t="s">
        <v>175</v>
      </c>
      <c r="H97" s="10" t="s">
        <v>187</v>
      </c>
      <c r="I97" s="10" t="s">
        <v>261</v>
      </c>
      <c r="J97" s="25" t="s">
        <v>190</v>
      </c>
      <c r="K97" s="22" t="s">
        <v>191</v>
      </c>
      <c r="L97" s="10" t="str">
        <f aca="false">IF(AND(G97="entrada",F97&gt;=00_PARAMETROS!$B$7),"SIM","NÃO")</f>
        <v>SIM</v>
      </c>
      <c r="M97" s="23"/>
      <c r="N97" s="24" t="n">
        <f aca="false">IFERROR(INDEX(00_PARAMETROS!$B$41:$B$54,MATCH(K97,00_PARAMETROS!$A$41:$A$54,0)),0)</f>
        <v>0</v>
      </c>
      <c r="O97" s="11" t="n">
        <f aca="false">IF(OR(G97&lt;&gt;"entrada",N97=0),0,IF(K97="VENDA_BEM_BR_GCAP",N(M97),F97))</f>
        <v>0</v>
      </c>
      <c r="P97" s="11" t="n">
        <f aca="false">ROUND(O97*N97,2)</f>
        <v>0</v>
      </c>
      <c r="Q97" s="11" t="n">
        <f aca="false">IF(AND(G97="entrada",K97="PENDENTE"),ROUND(F97*00_PARAMETROS!$B$12,2),0)</f>
        <v>7650</v>
      </c>
      <c r="R97" s="11" t="n">
        <f aca="false">IF(AND(G97="entrada",K97="PENDENTE"),ROUND(F97*00_PARAMETROS!$B$13,2),0)</f>
        <v>12750</v>
      </c>
      <c r="S97" s="24" t="n">
        <f aca="false">IF(P97+Q97&gt;0,SUMIFS(SELIC!$B$4:$B$96,SELIC!$A$4:$A$96,"&gt;="&amp;DATE(YEAR(B97),MONTH(B97)+1,1),SELIC!$A$4:$A$96,"&lt;="&amp;DATE(YEAR(00_PARAMETROS!$B$4),MONTH(00_PARAMETROS!$B$4)-1,1))+00_PARAMETROS!$B$11,0)</f>
        <v>0.1589</v>
      </c>
      <c r="T97" s="24" t="n">
        <f aca="false">IF(P97+Q97&gt;0,MIN(00_PARAMETROS!$B$9,00_PARAMETROS!$B$8*MAX(0,00_PARAMETROS!$B$4-B97)),0)</f>
        <v>0.2</v>
      </c>
      <c r="U97" s="11" t="n">
        <f aca="false">ROUND(P97*(1+S97+T97),2)</f>
        <v>0</v>
      </c>
      <c r="V97" s="11" t="n">
        <f aca="false">ROUND(Q97*(1+S97+T97),2)</f>
        <v>10395.59</v>
      </c>
      <c r="W97" s="11" t="n">
        <f aca="false">ROUND(R97*(1+S97+T97),2)</f>
        <v>17325.98</v>
      </c>
      <c r="X97" s="10"/>
    </row>
    <row r="98" customFormat="false" ht="22.35" hidden="false" customHeight="false" outlineLevel="0" collapsed="false">
      <c r="A98" s="10" t="n">
        <v>94</v>
      </c>
      <c r="B98" s="19" t="n">
        <v>45868</v>
      </c>
      <c r="C98" s="21" t="n">
        <f aca="false">YEAR(B98)</f>
        <v>2025</v>
      </c>
      <c r="D98" s="10" t="s">
        <v>256</v>
      </c>
      <c r="E98" s="10" t="s">
        <v>256</v>
      </c>
      <c r="F98" s="11" t="n">
        <v>67269.32</v>
      </c>
      <c r="G98" s="10" t="s">
        <v>175</v>
      </c>
      <c r="H98" s="10" t="s">
        <v>182</v>
      </c>
      <c r="I98" s="10" t="s">
        <v>261</v>
      </c>
      <c r="J98" s="10" t="s">
        <v>258</v>
      </c>
      <c r="K98" s="22" t="s">
        <v>259</v>
      </c>
      <c r="L98" s="10" t="str">
        <f aca="false">IF(AND(G98="entrada",F98&gt;=00_PARAMETROS!$B$7),"SIM","NÃO")</f>
        <v>SIM</v>
      </c>
      <c r="M98" s="23"/>
      <c r="N98" s="24" t="n">
        <f aca="false">IFERROR(INDEX(00_PARAMETROS!$B$41:$B$54,MATCH(K98,00_PARAMETROS!$A$41:$A$54,0)),0)</f>
        <v>0</v>
      </c>
      <c r="O98" s="11" t="n">
        <f aca="false">IF(OR(G98&lt;&gt;"entrada",N98=0),0,IF(K98="VENDA_BEM_BR_GCAP",N(M98),F98))</f>
        <v>0</v>
      </c>
      <c r="P98" s="11" t="n">
        <f aca="false">ROUND(O98*N98,2)</f>
        <v>0</v>
      </c>
      <c r="Q98" s="11" t="n">
        <f aca="false">IF(AND(G98="entrada",K98="PENDENTE"),ROUND(F98*00_PARAMETROS!$B$12,2),0)</f>
        <v>0</v>
      </c>
      <c r="R98" s="11" t="n">
        <f aca="false">IF(AND(G98="entrada",K98="PENDENTE"),ROUND(F98*00_PARAMETROS!$B$13,2),0)</f>
        <v>0</v>
      </c>
      <c r="S98" s="24" t="n">
        <f aca="false">IF(P98+Q98&gt;0,SUMIFS(SELIC!$B$4:$B$96,SELIC!$A$4:$A$96,"&gt;="&amp;DATE(YEAR(B98),MONTH(B98)+1,1),SELIC!$A$4:$A$96,"&lt;="&amp;DATE(YEAR(00_PARAMETROS!$B$4),MONTH(00_PARAMETROS!$B$4)-1,1))+00_PARAMETROS!$B$11,0)</f>
        <v>0</v>
      </c>
      <c r="T98" s="24" t="n">
        <f aca="false">IF(P98+Q98&gt;0,MIN(00_PARAMETROS!$B$9,00_PARAMETROS!$B$8*MAX(0,00_PARAMETROS!$B$4-B98)),0)</f>
        <v>0</v>
      </c>
      <c r="U98" s="11" t="n">
        <f aca="false">ROUND(P98*(1+S98+T98),2)</f>
        <v>0</v>
      </c>
      <c r="V98" s="11" t="n">
        <f aca="false">ROUND(Q98*(1+S98+T98),2)</f>
        <v>0</v>
      </c>
      <c r="W98" s="11" t="n">
        <f aca="false">ROUND(R98*(1+S98+T98),2)</f>
        <v>0</v>
      </c>
      <c r="X98" s="10"/>
    </row>
    <row r="99" customFormat="false" ht="43.25" hidden="false" customHeight="false" outlineLevel="0" collapsed="false">
      <c r="A99" s="10" t="n">
        <v>95</v>
      </c>
      <c r="B99" s="19" t="n">
        <v>45868</v>
      </c>
      <c r="C99" s="21" t="n">
        <f aca="false">YEAR(B99)</f>
        <v>2025</v>
      </c>
      <c r="D99" s="10" t="s">
        <v>185</v>
      </c>
      <c r="E99" s="10" t="s">
        <v>186</v>
      </c>
      <c r="F99" s="11" t="n">
        <v>-392</v>
      </c>
      <c r="G99" s="10" t="s">
        <v>181</v>
      </c>
      <c r="H99" s="10" t="s">
        <v>187</v>
      </c>
      <c r="I99" s="10" t="s">
        <v>261</v>
      </c>
      <c r="J99" s="10" t="s">
        <v>188</v>
      </c>
      <c r="K99" s="22" t="s">
        <v>184</v>
      </c>
      <c r="L99" s="10" t="str">
        <f aca="false">IF(AND(G99="entrada",F99&gt;=00_PARAMETROS!$B$7),"SIM","NÃO")</f>
        <v>NÃO</v>
      </c>
      <c r="M99" s="23"/>
      <c r="N99" s="24" t="n">
        <f aca="false">IFERROR(INDEX(00_PARAMETROS!$B$41:$B$54,MATCH(K99,00_PARAMETROS!$A$41:$A$54,0)),0)</f>
        <v>0</v>
      </c>
      <c r="O99" s="11" t="n">
        <f aca="false">IF(OR(G99&lt;&gt;"entrada",N99=0),0,IF(K99="VENDA_BEM_BR_GCAP",N(M99),F99))</f>
        <v>0</v>
      </c>
      <c r="P99" s="11" t="n">
        <f aca="false">ROUND(O99*N99,2)</f>
        <v>0</v>
      </c>
      <c r="Q99" s="11" t="n">
        <f aca="false">IF(AND(G99="entrada",K99="PENDENTE"),ROUND(F99*00_PARAMETROS!$B$12,2),0)</f>
        <v>0</v>
      </c>
      <c r="R99" s="11" t="n">
        <f aca="false">IF(AND(G99="entrada",K99="PENDENTE"),ROUND(F99*00_PARAMETROS!$B$13,2),0)</f>
        <v>0</v>
      </c>
      <c r="S99" s="24" t="n">
        <f aca="false">IF(P99+Q99&gt;0,SUMIFS(SELIC!$B$4:$B$96,SELIC!$A$4:$A$96,"&gt;="&amp;DATE(YEAR(B99),MONTH(B99)+1,1),SELIC!$A$4:$A$96,"&lt;="&amp;DATE(YEAR(00_PARAMETROS!$B$4),MONTH(00_PARAMETROS!$B$4)-1,1))+00_PARAMETROS!$B$11,0)</f>
        <v>0</v>
      </c>
      <c r="T99" s="24" t="n">
        <f aca="false">IF(P99+Q99&gt;0,MIN(00_PARAMETROS!$B$9,00_PARAMETROS!$B$8*MAX(0,00_PARAMETROS!$B$4-B99)),0)</f>
        <v>0</v>
      </c>
      <c r="U99" s="11" t="n">
        <f aca="false">ROUND(P99*(1+S99+T99),2)</f>
        <v>0</v>
      </c>
      <c r="V99" s="11" t="n">
        <f aca="false">ROUND(Q99*(1+S99+T99),2)</f>
        <v>0</v>
      </c>
      <c r="W99" s="11" t="n">
        <f aca="false">ROUND(R99*(1+S99+T99),2)</f>
        <v>0</v>
      </c>
      <c r="X99" s="10"/>
    </row>
    <row r="100" customFormat="false" ht="43.25" hidden="false" customHeight="false" outlineLevel="0" collapsed="false">
      <c r="A100" s="10" t="n">
        <v>96</v>
      </c>
      <c r="B100" s="19" t="n">
        <v>45869</v>
      </c>
      <c r="C100" s="21" t="n">
        <f aca="false">YEAR(B100)</f>
        <v>2025</v>
      </c>
      <c r="D100" s="10" t="s">
        <v>279</v>
      </c>
      <c r="E100" s="10" t="s">
        <v>270</v>
      </c>
      <c r="F100" s="11" t="n">
        <v>-40000</v>
      </c>
      <c r="G100" s="10" t="s">
        <v>181</v>
      </c>
      <c r="H100" s="10" t="s">
        <v>187</v>
      </c>
      <c r="I100" s="10" t="s">
        <v>261</v>
      </c>
      <c r="J100" s="10" t="s">
        <v>271</v>
      </c>
      <c r="K100" s="22" t="s">
        <v>184</v>
      </c>
      <c r="L100" s="10" t="str">
        <f aca="false">IF(AND(G100="entrada",F100&gt;=00_PARAMETROS!$B$7),"SIM","NÃO")</f>
        <v>NÃO</v>
      </c>
      <c r="M100" s="23"/>
      <c r="N100" s="24" t="n">
        <f aca="false">IFERROR(INDEX(00_PARAMETROS!$B$41:$B$54,MATCH(K100,00_PARAMETROS!$A$41:$A$54,0)),0)</f>
        <v>0</v>
      </c>
      <c r="O100" s="11" t="n">
        <f aca="false">IF(OR(G100&lt;&gt;"entrada",N100=0),0,IF(K100="VENDA_BEM_BR_GCAP",N(M100),F100))</f>
        <v>0</v>
      </c>
      <c r="P100" s="11" t="n">
        <f aca="false">ROUND(O100*N100,2)</f>
        <v>0</v>
      </c>
      <c r="Q100" s="11" t="n">
        <f aca="false">IF(AND(G100="entrada",K100="PENDENTE"),ROUND(F100*00_PARAMETROS!$B$12,2),0)</f>
        <v>0</v>
      </c>
      <c r="R100" s="11" t="n">
        <f aca="false">IF(AND(G100="entrada",K100="PENDENTE"),ROUND(F100*00_PARAMETROS!$B$13,2),0)</f>
        <v>0</v>
      </c>
      <c r="S100" s="24" t="n">
        <f aca="false">IF(P100+Q100&gt;0,SUMIFS(SELIC!$B$4:$B$96,SELIC!$A$4:$A$96,"&gt;="&amp;DATE(YEAR(B100),MONTH(B100)+1,1),SELIC!$A$4:$A$96,"&lt;="&amp;DATE(YEAR(00_PARAMETROS!$B$4),MONTH(00_PARAMETROS!$B$4)-1,1))+00_PARAMETROS!$B$11,0)</f>
        <v>0</v>
      </c>
      <c r="T100" s="24" t="n">
        <f aca="false">IF(P100+Q100&gt;0,MIN(00_PARAMETROS!$B$9,00_PARAMETROS!$B$8*MAX(0,00_PARAMETROS!$B$4-B100)),0)</f>
        <v>0</v>
      </c>
      <c r="U100" s="11" t="n">
        <f aca="false">ROUND(P100*(1+S100+T100),2)</f>
        <v>0</v>
      </c>
      <c r="V100" s="11" t="n">
        <f aca="false">ROUND(Q100*(1+S100+T100),2)</f>
        <v>0</v>
      </c>
      <c r="W100" s="11" t="n">
        <f aca="false">ROUND(R100*(1+S100+T100),2)</f>
        <v>0</v>
      </c>
      <c r="X100" s="10" t="s">
        <v>272</v>
      </c>
    </row>
    <row r="101" customFormat="false" ht="32.8" hidden="false" customHeight="false" outlineLevel="0" collapsed="false">
      <c r="A101" s="10" t="n">
        <v>97</v>
      </c>
      <c r="B101" s="19" t="n">
        <v>45870</v>
      </c>
      <c r="C101" s="21" t="n">
        <f aca="false">YEAR(B101)</f>
        <v>2025</v>
      </c>
      <c r="D101" s="10" t="s">
        <v>274</v>
      </c>
      <c r="E101" s="10" t="s">
        <v>275</v>
      </c>
      <c r="F101" s="11" t="n">
        <v>-45000</v>
      </c>
      <c r="G101" s="10" t="s">
        <v>181</v>
      </c>
      <c r="H101" s="10" t="s">
        <v>187</v>
      </c>
      <c r="I101" s="10" t="s">
        <v>280</v>
      </c>
      <c r="J101" s="10" t="s">
        <v>276</v>
      </c>
      <c r="K101" s="22" t="s">
        <v>184</v>
      </c>
      <c r="L101" s="10" t="str">
        <f aca="false">IF(AND(G101="entrada",F101&gt;=00_PARAMETROS!$B$7),"SIM","NÃO")</f>
        <v>NÃO</v>
      </c>
      <c r="M101" s="23"/>
      <c r="N101" s="24" t="n">
        <f aca="false">IFERROR(INDEX(00_PARAMETROS!$B$41:$B$54,MATCH(K101,00_PARAMETROS!$A$41:$A$54,0)),0)</f>
        <v>0</v>
      </c>
      <c r="O101" s="11" t="n">
        <f aca="false">IF(OR(G101&lt;&gt;"entrada",N101=0),0,IF(K101="VENDA_BEM_BR_GCAP",N(M101),F101))</f>
        <v>0</v>
      </c>
      <c r="P101" s="11" t="n">
        <f aca="false">ROUND(O101*N101,2)</f>
        <v>0</v>
      </c>
      <c r="Q101" s="11" t="n">
        <f aca="false">IF(AND(G101="entrada",K101="PENDENTE"),ROUND(F101*00_PARAMETROS!$B$12,2),0)</f>
        <v>0</v>
      </c>
      <c r="R101" s="11" t="n">
        <f aca="false">IF(AND(G101="entrada",K101="PENDENTE"),ROUND(F101*00_PARAMETROS!$B$13,2),0)</f>
        <v>0</v>
      </c>
      <c r="S101" s="24" t="n">
        <f aca="false">IF(P101+Q101&gt;0,SUMIFS(SELIC!$B$4:$B$96,SELIC!$A$4:$A$96,"&gt;="&amp;DATE(YEAR(B101),MONTH(B101)+1,1),SELIC!$A$4:$A$96,"&lt;="&amp;DATE(YEAR(00_PARAMETROS!$B$4),MONTH(00_PARAMETROS!$B$4)-1,1))+00_PARAMETROS!$B$11,0)</f>
        <v>0</v>
      </c>
      <c r="T101" s="24" t="n">
        <f aca="false">IF(P101+Q101&gt;0,MIN(00_PARAMETROS!$B$9,00_PARAMETROS!$B$8*MAX(0,00_PARAMETROS!$B$4-B101)),0)</f>
        <v>0</v>
      </c>
      <c r="U101" s="11" t="n">
        <f aca="false">ROUND(P101*(1+S101+T101),2)</f>
        <v>0</v>
      </c>
      <c r="V101" s="11" t="n">
        <f aca="false">ROUND(Q101*(1+S101+T101),2)</f>
        <v>0</v>
      </c>
      <c r="W101" s="11" t="n">
        <f aca="false">ROUND(R101*(1+S101+T101),2)</f>
        <v>0</v>
      </c>
      <c r="X101" s="10" t="s">
        <v>277</v>
      </c>
    </row>
    <row r="102" customFormat="false" ht="32.8" hidden="false" customHeight="false" outlineLevel="0" collapsed="false">
      <c r="A102" s="10" t="n">
        <v>98</v>
      </c>
      <c r="B102" s="19" t="n">
        <v>45870</v>
      </c>
      <c r="C102" s="21" t="n">
        <f aca="false">YEAR(B102)</f>
        <v>2025</v>
      </c>
      <c r="D102" s="10" t="s">
        <v>269</v>
      </c>
      <c r="E102" s="10" t="s">
        <v>270</v>
      </c>
      <c r="F102" s="11" t="n">
        <v>-4200</v>
      </c>
      <c r="G102" s="10" t="s">
        <v>181</v>
      </c>
      <c r="H102" s="10" t="s">
        <v>187</v>
      </c>
      <c r="I102" s="10" t="s">
        <v>280</v>
      </c>
      <c r="J102" s="10" t="s">
        <v>271</v>
      </c>
      <c r="K102" s="22" t="s">
        <v>184</v>
      </c>
      <c r="L102" s="10" t="str">
        <f aca="false">IF(AND(G102="entrada",F102&gt;=00_PARAMETROS!$B$7),"SIM","NÃO")</f>
        <v>NÃO</v>
      </c>
      <c r="M102" s="23"/>
      <c r="N102" s="24" t="n">
        <f aca="false">IFERROR(INDEX(00_PARAMETROS!$B$41:$B$54,MATCH(K102,00_PARAMETROS!$A$41:$A$54,0)),0)</f>
        <v>0</v>
      </c>
      <c r="O102" s="11" t="n">
        <f aca="false">IF(OR(G102&lt;&gt;"entrada",N102=0),0,IF(K102="VENDA_BEM_BR_GCAP",N(M102),F102))</f>
        <v>0</v>
      </c>
      <c r="P102" s="11" t="n">
        <f aca="false">ROUND(O102*N102,2)</f>
        <v>0</v>
      </c>
      <c r="Q102" s="11" t="n">
        <f aca="false">IF(AND(G102="entrada",K102="PENDENTE"),ROUND(F102*00_PARAMETROS!$B$12,2),0)</f>
        <v>0</v>
      </c>
      <c r="R102" s="11" t="n">
        <f aca="false">IF(AND(G102="entrada",K102="PENDENTE"),ROUND(F102*00_PARAMETROS!$B$13,2),0)</f>
        <v>0</v>
      </c>
      <c r="S102" s="24" t="n">
        <f aca="false">IF(P102+Q102&gt;0,SUMIFS(SELIC!$B$4:$B$96,SELIC!$A$4:$A$96,"&gt;="&amp;DATE(YEAR(B102),MONTH(B102)+1,1),SELIC!$A$4:$A$96,"&lt;="&amp;DATE(YEAR(00_PARAMETROS!$B$4),MONTH(00_PARAMETROS!$B$4)-1,1))+00_PARAMETROS!$B$11,0)</f>
        <v>0</v>
      </c>
      <c r="T102" s="24" t="n">
        <f aca="false">IF(P102+Q102&gt;0,MIN(00_PARAMETROS!$B$9,00_PARAMETROS!$B$8*MAX(0,00_PARAMETROS!$B$4-B102)),0)</f>
        <v>0</v>
      </c>
      <c r="U102" s="11" t="n">
        <f aca="false">ROUND(P102*(1+S102+T102),2)</f>
        <v>0</v>
      </c>
      <c r="V102" s="11" t="n">
        <f aca="false">ROUND(Q102*(1+S102+T102),2)</f>
        <v>0</v>
      </c>
      <c r="W102" s="11" t="n">
        <f aca="false">ROUND(R102*(1+S102+T102),2)</f>
        <v>0</v>
      </c>
      <c r="X102" s="10" t="s">
        <v>272</v>
      </c>
    </row>
    <row r="103" customFormat="false" ht="32.8" hidden="false" customHeight="false" outlineLevel="0" collapsed="false">
      <c r="A103" s="10" t="n">
        <v>99</v>
      </c>
      <c r="B103" s="19" t="n">
        <v>45871</v>
      </c>
      <c r="C103" s="21" t="n">
        <f aca="false">YEAR(B103)</f>
        <v>2025</v>
      </c>
      <c r="D103" s="10" t="s">
        <v>274</v>
      </c>
      <c r="E103" s="10" t="s">
        <v>275</v>
      </c>
      <c r="F103" s="11" t="n">
        <v>-45000</v>
      </c>
      <c r="G103" s="10" t="s">
        <v>181</v>
      </c>
      <c r="H103" s="10" t="s">
        <v>187</v>
      </c>
      <c r="I103" s="10" t="s">
        <v>280</v>
      </c>
      <c r="J103" s="10" t="s">
        <v>276</v>
      </c>
      <c r="K103" s="22" t="s">
        <v>184</v>
      </c>
      <c r="L103" s="10" t="str">
        <f aca="false">IF(AND(G103="entrada",F103&gt;=00_PARAMETROS!$B$7),"SIM","NÃO")</f>
        <v>NÃO</v>
      </c>
      <c r="M103" s="23"/>
      <c r="N103" s="24" t="n">
        <f aca="false">IFERROR(INDEX(00_PARAMETROS!$B$41:$B$54,MATCH(K103,00_PARAMETROS!$A$41:$A$54,0)),0)</f>
        <v>0</v>
      </c>
      <c r="O103" s="11" t="n">
        <f aca="false">IF(OR(G103&lt;&gt;"entrada",N103=0),0,IF(K103="VENDA_BEM_BR_GCAP",N(M103),F103))</f>
        <v>0</v>
      </c>
      <c r="P103" s="11" t="n">
        <f aca="false">ROUND(O103*N103,2)</f>
        <v>0</v>
      </c>
      <c r="Q103" s="11" t="n">
        <f aca="false">IF(AND(G103="entrada",K103="PENDENTE"),ROUND(F103*00_PARAMETROS!$B$12,2),0)</f>
        <v>0</v>
      </c>
      <c r="R103" s="11" t="n">
        <f aca="false">IF(AND(G103="entrada",K103="PENDENTE"),ROUND(F103*00_PARAMETROS!$B$13,2),0)</f>
        <v>0</v>
      </c>
      <c r="S103" s="24" t="n">
        <f aca="false">IF(P103+Q103&gt;0,SUMIFS(SELIC!$B$4:$B$96,SELIC!$A$4:$A$96,"&gt;="&amp;DATE(YEAR(B103),MONTH(B103)+1,1),SELIC!$A$4:$A$96,"&lt;="&amp;DATE(YEAR(00_PARAMETROS!$B$4),MONTH(00_PARAMETROS!$B$4)-1,1))+00_PARAMETROS!$B$11,0)</f>
        <v>0</v>
      </c>
      <c r="T103" s="24" t="n">
        <f aca="false">IF(P103+Q103&gt;0,MIN(00_PARAMETROS!$B$9,00_PARAMETROS!$B$8*MAX(0,00_PARAMETROS!$B$4-B103)),0)</f>
        <v>0</v>
      </c>
      <c r="U103" s="11" t="n">
        <f aca="false">ROUND(P103*(1+S103+T103),2)</f>
        <v>0</v>
      </c>
      <c r="V103" s="11" t="n">
        <f aca="false">ROUND(Q103*(1+S103+T103),2)</f>
        <v>0</v>
      </c>
      <c r="W103" s="11" t="n">
        <f aca="false">ROUND(R103*(1+S103+T103),2)</f>
        <v>0</v>
      </c>
      <c r="X103" s="10" t="s">
        <v>277</v>
      </c>
    </row>
    <row r="104" customFormat="false" ht="32.8" hidden="false" customHeight="false" outlineLevel="0" collapsed="false">
      <c r="A104" s="10" t="n">
        <v>100</v>
      </c>
      <c r="B104" s="19" t="n">
        <v>45871</v>
      </c>
      <c r="C104" s="21" t="n">
        <f aca="false">YEAR(B104)</f>
        <v>2025</v>
      </c>
      <c r="D104" s="10" t="s">
        <v>245</v>
      </c>
      <c r="E104" s="10" t="s">
        <v>145</v>
      </c>
      <c r="F104" s="11" t="n">
        <v>-3000</v>
      </c>
      <c r="G104" s="10" t="s">
        <v>181</v>
      </c>
      <c r="H104" s="10" t="s">
        <v>187</v>
      </c>
      <c r="I104" s="10" t="s">
        <v>280</v>
      </c>
      <c r="J104" s="10" t="s">
        <v>188</v>
      </c>
      <c r="K104" s="22" t="s">
        <v>184</v>
      </c>
      <c r="L104" s="10" t="str">
        <f aca="false">IF(AND(G104="entrada",F104&gt;=00_PARAMETROS!$B$7),"SIM","NÃO")</f>
        <v>NÃO</v>
      </c>
      <c r="M104" s="23"/>
      <c r="N104" s="24" t="n">
        <f aca="false">IFERROR(INDEX(00_PARAMETROS!$B$41:$B$54,MATCH(K104,00_PARAMETROS!$A$41:$A$54,0)),0)</f>
        <v>0</v>
      </c>
      <c r="O104" s="11" t="n">
        <f aca="false">IF(OR(G104&lt;&gt;"entrada",N104=0),0,IF(K104="VENDA_BEM_BR_GCAP",N(M104),F104))</f>
        <v>0</v>
      </c>
      <c r="P104" s="11" t="n">
        <f aca="false">ROUND(O104*N104,2)</f>
        <v>0</v>
      </c>
      <c r="Q104" s="11" t="n">
        <f aca="false">IF(AND(G104="entrada",K104="PENDENTE"),ROUND(F104*00_PARAMETROS!$B$12,2),0)</f>
        <v>0</v>
      </c>
      <c r="R104" s="11" t="n">
        <f aca="false">IF(AND(G104="entrada",K104="PENDENTE"),ROUND(F104*00_PARAMETROS!$B$13,2),0)</f>
        <v>0</v>
      </c>
      <c r="S104" s="24" t="n">
        <f aca="false">IF(P104+Q104&gt;0,SUMIFS(SELIC!$B$4:$B$96,SELIC!$A$4:$A$96,"&gt;="&amp;DATE(YEAR(B104),MONTH(B104)+1,1),SELIC!$A$4:$A$96,"&lt;="&amp;DATE(YEAR(00_PARAMETROS!$B$4),MONTH(00_PARAMETROS!$B$4)-1,1))+00_PARAMETROS!$B$11,0)</f>
        <v>0</v>
      </c>
      <c r="T104" s="24" t="n">
        <f aca="false">IF(P104+Q104&gt;0,MIN(00_PARAMETROS!$B$9,00_PARAMETROS!$B$8*MAX(0,00_PARAMETROS!$B$4-B104)),0)</f>
        <v>0</v>
      </c>
      <c r="U104" s="11" t="n">
        <f aca="false">ROUND(P104*(1+S104+T104),2)</f>
        <v>0</v>
      </c>
      <c r="V104" s="11" t="n">
        <f aca="false">ROUND(Q104*(1+S104+T104),2)</f>
        <v>0</v>
      </c>
      <c r="W104" s="11" t="n">
        <f aca="false">ROUND(R104*(1+S104+T104),2)</f>
        <v>0</v>
      </c>
      <c r="X104" s="10"/>
    </row>
    <row r="105" customFormat="false" ht="32.8" hidden="false" customHeight="false" outlineLevel="0" collapsed="false">
      <c r="A105" s="10" t="n">
        <v>101</v>
      </c>
      <c r="B105" s="19" t="n">
        <v>45872</v>
      </c>
      <c r="C105" s="21" t="n">
        <f aca="false">YEAR(B105)</f>
        <v>2025</v>
      </c>
      <c r="D105" s="10" t="s">
        <v>281</v>
      </c>
      <c r="E105" s="10" t="s">
        <v>226</v>
      </c>
      <c r="F105" s="11" t="n">
        <v>45000</v>
      </c>
      <c r="G105" s="10" t="s">
        <v>175</v>
      </c>
      <c r="H105" s="10" t="s">
        <v>227</v>
      </c>
      <c r="I105" s="10" t="s">
        <v>280</v>
      </c>
      <c r="J105" s="10" t="s">
        <v>282</v>
      </c>
      <c r="K105" s="22" t="s">
        <v>283</v>
      </c>
      <c r="L105" s="10" t="str">
        <f aca="false">IF(AND(G105="entrada",F105&gt;=00_PARAMETROS!$B$7),"SIM","NÃO")</f>
        <v>SIM</v>
      </c>
      <c r="M105" s="23"/>
      <c r="N105" s="24" t="n">
        <f aca="false">IFERROR(INDEX(00_PARAMETROS!$B$41:$B$54,MATCH(K105,00_PARAMETROS!$A$41:$A$54,0)),0)</f>
        <v>0</v>
      </c>
      <c r="O105" s="11" t="n">
        <f aca="false">IF(OR(G105&lt;&gt;"entrada",N105=0),0,IF(K105="VENDA_BEM_BR_GCAP",N(M105),F105))</f>
        <v>0</v>
      </c>
      <c r="P105" s="11" t="n">
        <f aca="false">ROUND(O105*N105,2)</f>
        <v>0</v>
      </c>
      <c r="Q105" s="11" t="n">
        <f aca="false">IF(AND(G105="entrada",K105="PENDENTE"),ROUND(F105*00_PARAMETROS!$B$12,2),0)</f>
        <v>0</v>
      </c>
      <c r="R105" s="11" t="n">
        <f aca="false">IF(AND(G105="entrada",K105="PENDENTE"),ROUND(F105*00_PARAMETROS!$B$13,2),0)</f>
        <v>0</v>
      </c>
      <c r="S105" s="24" t="n">
        <f aca="false">IF(P105+Q105&gt;0,SUMIFS(SELIC!$B$4:$B$96,SELIC!$A$4:$A$96,"&gt;="&amp;DATE(YEAR(B105),MONTH(B105)+1,1),SELIC!$A$4:$A$96,"&lt;="&amp;DATE(YEAR(00_PARAMETROS!$B$4),MONTH(00_PARAMETROS!$B$4)-1,1))+00_PARAMETROS!$B$11,0)</f>
        <v>0</v>
      </c>
      <c r="T105" s="24" t="n">
        <f aca="false">IF(P105+Q105&gt;0,MIN(00_PARAMETROS!$B$9,00_PARAMETROS!$B$8*MAX(0,00_PARAMETROS!$B$4-B105)),0)</f>
        <v>0</v>
      </c>
      <c r="U105" s="11" t="n">
        <f aca="false">ROUND(P105*(1+S105+T105),2)</f>
        <v>0</v>
      </c>
      <c r="V105" s="11" t="n">
        <f aca="false">ROUND(Q105*(1+S105+T105),2)</f>
        <v>0</v>
      </c>
      <c r="W105" s="11" t="n">
        <f aca="false">ROUND(R105*(1+S105+T105),2)</f>
        <v>0</v>
      </c>
      <c r="X105" s="10"/>
    </row>
    <row r="106" customFormat="false" ht="32.8" hidden="false" customHeight="false" outlineLevel="0" collapsed="false">
      <c r="A106" s="10" t="n">
        <v>102</v>
      </c>
      <c r="B106" s="19" t="n">
        <v>45872</v>
      </c>
      <c r="C106" s="21" t="n">
        <f aca="false">YEAR(B106)</f>
        <v>2025</v>
      </c>
      <c r="D106" s="10" t="s">
        <v>274</v>
      </c>
      <c r="E106" s="10" t="s">
        <v>275</v>
      </c>
      <c r="F106" s="11" t="n">
        <v>-25000</v>
      </c>
      <c r="G106" s="10" t="s">
        <v>181</v>
      </c>
      <c r="H106" s="10" t="s">
        <v>187</v>
      </c>
      <c r="I106" s="10" t="s">
        <v>280</v>
      </c>
      <c r="J106" s="10" t="s">
        <v>276</v>
      </c>
      <c r="K106" s="22" t="s">
        <v>184</v>
      </c>
      <c r="L106" s="10" t="str">
        <f aca="false">IF(AND(G106="entrada",F106&gt;=00_PARAMETROS!$B$7),"SIM","NÃO")</f>
        <v>NÃO</v>
      </c>
      <c r="M106" s="23"/>
      <c r="N106" s="24" t="n">
        <f aca="false">IFERROR(INDEX(00_PARAMETROS!$B$41:$B$54,MATCH(K106,00_PARAMETROS!$A$41:$A$54,0)),0)</f>
        <v>0</v>
      </c>
      <c r="O106" s="11" t="n">
        <f aca="false">IF(OR(G106&lt;&gt;"entrada",N106=0),0,IF(K106="VENDA_BEM_BR_GCAP",N(M106),F106))</f>
        <v>0</v>
      </c>
      <c r="P106" s="11" t="n">
        <f aca="false">ROUND(O106*N106,2)</f>
        <v>0</v>
      </c>
      <c r="Q106" s="11" t="n">
        <f aca="false">IF(AND(G106="entrada",K106="PENDENTE"),ROUND(F106*00_PARAMETROS!$B$12,2),0)</f>
        <v>0</v>
      </c>
      <c r="R106" s="11" t="n">
        <f aca="false">IF(AND(G106="entrada",K106="PENDENTE"),ROUND(F106*00_PARAMETROS!$B$13,2),0)</f>
        <v>0</v>
      </c>
      <c r="S106" s="24" t="n">
        <f aca="false">IF(P106+Q106&gt;0,SUMIFS(SELIC!$B$4:$B$96,SELIC!$A$4:$A$96,"&gt;="&amp;DATE(YEAR(B106),MONTH(B106)+1,1),SELIC!$A$4:$A$96,"&lt;="&amp;DATE(YEAR(00_PARAMETROS!$B$4),MONTH(00_PARAMETROS!$B$4)-1,1))+00_PARAMETROS!$B$11,0)</f>
        <v>0</v>
      </c>
      <c r="T106" s="24" t="n">
        <f aca="false">IF(P106+Q106&gt;0,MIN(00_PARAMETROS!$B$9,00_PARAMETROS!$B$8*MAX(0,00_PARAMETROS!$B$4-B106)),0)</f>
        <v>0</v>
      </c>
      <c r="U106" s="11" t="n">
        <f aca="false">ROUND(P106*(1+S106+T106),2)</f>
        <v>0</v>
      </c>
      <c r="V106" s="11" t="n">
        <f aca="false">ROUND(Q106*(1+S106+T106),2)</f>
        <v>0</v>
      </c>
      <c r="W106" s="11" t="n">
        <f aca="false">ROUND(R106*(1+S106+T106),2)</f>
        <v>0</v>
      </c>
      <c r="X106" s="10" t="s">
        <v>277</v>
      </c>
    </row>
    <row r="107" customFormat="false" ht="32.8" hidden="false" customHeight="false" outlineLevel="0" collapsed="false">
      <c r="A107" s="10" t="n">
        <v>103</v>
      </c>
      <c r="B107" s="19" t="n">
        <v>45872</v>
      </c>
      <c r="C107" s="21" t="n">
        <f aca="false">YEAR(B107)</f>
        <v>2025</v>
      </c>
      <c r="D107" s="10" t="s">
        <v>274</v>
      </c>
      <c r="E107" s="10" t="s">
        <v>275</v>
      </c>
      <c r="F107" s="11" t="n">
        <v>-25000</v>
      </c>
      <c r="G107" s="10" t="s">
        <v>181</v>
      </c>
      <c r="H107" s="10" t="s">
        <v>187</v>
      </c>
      <c r="I107" s="10" t="s">
        <v>280</v>
      </c>
      <c r="J107" s="10" t="s">
        <v>276</v>
      </c>
      <c r="K107" s="22" t="s">
        <v>184</v>
      </c>
      <c r="L107" s="10" t="str">
        <f aca="false">IF(AND(G107="entrada",F107&gt;=00_PARAMETROS!$B$7),"SIM","NÃO")</f>
        <v>NÃO</v>
      </c>
      <c r="M107" s="23"/>
      <c r="N107" s="24" t="n">
        <f aca="false">IFERROR(INDEX(00_PARAMETROS!$B$41:$B$54,MATCH(K107,00_PARAMETROS!$A$41:$A$54,0)),0)</f>
        <v>0</v>
      </c>
      <c r="O107" s="11" t="n">
        <f aca="false">IF(OR(G107&lt;&gt;"entrada",N107=0),0,IF(K107="VENDA_BEM_BR_GCAP",N(M107),F107))</f>
        <v>0</v>
      </c>
      <c r="P107" s="11" t="n">
        <f aca="false">ROUND(O107*N107,2)</f>
        <v>0</v>
      </c>
      <c r="Q107" s="11" t="n">
        <f aca="false">IF(AND(G107="entrada",K107="PENDENTE"),ROUND(F107*00_PARAMETROS!$B$12,2),0)</f>
        <v>0</v>
      </c>
      <c r="R107" s="11" t="n">
        <f aca="false">IF(AND(G107="entrada",K107="PENDENTE"),ROUND(F107*00_PARAMETROS!$B$13,2),0)</f>
        <v>0</v>
      </c>
      <c r="S107" s="24" t="n">
        <f aca="false">IF(P107+Q107&gt;0,SUMIFS(SELIC!$B$4:$B$96,SELIC!$A$4:$A$96,"&gt;="&amp;DATE(YEAR(B107),MONTH(B107)+1,1),SELIC!$A$4:$A$96,"&lt;="&amp;DATE(YEAR(00_PARAMETROS!$B$4),MONTH(00_PARAMETROS!$B$4)-1,1))+00_PARAMETROS!$B$11,0)</f>
        <v>0</v>
      </c>
      <c r="T107" s="24" t="n">
        <f aca="false">IF(P107+Q107&gt;0,MIN(00_PARAMETROS!$B$9,00_PARAMETROS!$B$8*MAX(0,00_PARAMETROS!$B$4-B107)),0)</f>
        <v>0</v>
      </c>
      <c r="U107" s="11" t="n">
        <f aca="false">ROUND(P107*(1+S107+T107),2)</f>
        <v>0</v>
      </c>
      <c r="V107" s="11" t="n">
        <f aca="false">ROUND(Q107*(1+S107+T107),2)</f>
        <v>0</v>
      </c>
      <c r="W107" s="11" t="n">
        <f aca="false">ROUND(R107*(1+S107+T107),2)</f>
        <v>0</v>
      </c>
      <c r="X107" s="10" t="s">
        <v>277</v>
      </c>
    </row>
    <row r="108" customFormat="false" ht="32.8" hidden="false" customHeight="false" outlineLevel="0" collapsed="false">
      <c r="A108" s="10" t="n">
        <v>104</v>
      </c>
      <c r="B108" s="19" t="n">
        <v>45873</v>
      </c>
      <c r="C108" s="21" t="n">
        <f aca="false">YEAR(B108)</f>
        <v>2025</v>
      </c>
      <c r="D108" s="10" t="s">
        <v>284</v>
      </c>
      <c r="E108" s="10" t="s">
        <v>226</v>
      </c>
      <c r="F108" s="11" t="n">
        <v>40000</v>
      </c>
      <c r="G108" s="10" t="s">
        <v>175</v>
      </c>
      <c r="H108" s="10" t="s">
        <v>227</v>
      </c>
      <c r="I108" s="10" t="s">
        <v>280</v>
      </c>
      <c r="J108" s="10" t="s">
        <v>282</v>
      </c>
      <c r="K108" s="22" t="s">
        <v>283</v>
      </c>
      <c r="L108" s="10" t="str">
        <f aca="false">IF(AND(G108="entrada",F108&gt;=00_PARAMETROS!$B$7),"SIM","NÃO")</f>
        <v>SIM</v>
      </c>
      <c r="M108" s="23"/>
      <c r="N108" s="24" t="n">
        <f aca="false">IFERROR(INDEX(00_PARAMETROS!$B$41:$B$54,MATCH(K108,00_PARAMETROS!$A$41:$A$54,0)),0)</f>
        <v>0</v>
      </c>
      <c r="O108" s="11" t="n">
        <f aca="false">IF(OR(G108&lt;&gt;"entrada",N108=0),0,IF(K108="VENDA_BEM_BR_GCAP",N(M108),F108))</f>
        <v>0</v>
      </c>
      <c r="P108" s="11" t="n">
        <f aca="false">ROUND(O108*N108,2)</f>
        <v>0</v>
      </c>
      <c r="Q108" s="11" t="n">
        <f aca="false">IF(AND(G108="entrada",K108="PENDENTE"),ROUND(F108*00_PARAMETROS!$B$12,2),0)</f>
        <v>0</v>
      </c>
      <c r="R108" s="11" t="n">
        <f aca="false">IF(AND(G108="entrada",K108="PENDENTE"),ROUND(F108*00_PARAMETROS!$B$13,2),0)</f>
        <v>0</v>
      </c>
      <c r="S108" s="24" t="n">
        <f aca="false">IF(P108+Q108&gt;0,SUMIFS(SELIC!$B$4:$B$96,SELIC!$A$4:$A$96,"&gt;="&amp;DATE(YEAR(B108),MONTH(B108)+1,1),SELIC!$A$4:$A$96,"&lt;="&amp;DATE(YEAR(00_PARAMETROS!$B$4),MONTH(00_PARAMETROS!$B$4)-1,1))+00_PARAMETROS!$B$11,0)</f>
        <v>0</v>
      </c>
      <c r="T108" s="24" t="n">
        <f aca="false">IF(P108+Q108&gt;0,MIN(00_PARAMETROS!$B$9,00_PARAMETROS!$B$8*MAX(0,00_PARAMETROS!$B$4-B108)),0)</f>
        <v>0</v>
      </c>
      <c r="U108" s="11" t="n">
        <f aca="false">ROUND(P108*(1+S108+T108),2)</f>
        <v>0</v>
      </c>
      <c r="V108" s="11" t="n">
        <f aca="false">ROUND(Q108*(1+S108+T108),2)</f>
        <v>0</v>
      </c>
      <c r="W108" s="11" t="n">
        <f aca="false">ROUND(R108*(1+S108+T108),2)</f>
        <v>0</v>
      </c>
      <c r="X108" s="10"/>
    </row>
    <row r="109" customFormat="false" ht="43.25" hidden="false" customHeight="false" outlineLevel="0" collapsed="false">
      <c r="A109" s="10" t="n">
        <v>105</v>
      </c>
      <c r="B109" s="19" t="n">
        <v>45873</v>
      </c>
      <c r="C109" s="21" t="n">
        <f aca="false">YEAR(B109)</f>
        <v>2025</v>
      </c>
      <c r="D109" s="10" t="s">
        <v>285</v>
      </c>
      <c r="E109" s="10" t="s">
        <v>138</v>
      </c>
      <c r="F109" s="11" t="n">
        <v>20000</v>
      </c>
      <c r="G109" s="10" t="s">
        <v>175</v>
      </c>
      <c r="H109" s="10" t="s">
        <v>187</v>
      </c>
      <c r="I109" s="10" t="s">
        <v>280</v>
      </c>
      <c r="J109" s="25" t="s">
        <v>190</v>
      </c>
      <c r="K109" s="22" t="s">
        <v>191</v>
      </c>
      <c r="L109" s="10" t="str">
        <f aca="false">IF(AND(G109="entrada",F109&gt;=00_PARAMETROS!$B$7),"SIM","NÃO")</f>
        <v>SIM</v>
      </c>
      <c r="M109" s="23"/>
      <c r="N109" s="24" t="n">
        <f aca="false">IFERROR(INDEX(00_PARAMETROS!$B$41:$B$54,MATCH(K109,00_PARAMETROS!$A$41:$A$54,0)),0)</f>
        <v>0</v>
      </c>
      <c r="O109" s="11" t="n">
        <f aca="false">IF(OR(G109&lt;&gt;"entrada",N109=0),0,IF(K109="VENDA_BEM_BR_GCAP",N(M109),F109))</f>
        <v>0</v>
      </c>
      <c r="P109" s="11" t="n">
        <f aca="false">ROUND(O109*N109,2)</f>
        <v>0</v>
      </c>
      <c r="Q109" s="11" t="n">
        <f aca="false">IF(AND(G109="entrada",K109="PENDENTE"),ROUND(F109*00_PARAMETROS!$B$12,2),0)</f>
        <v>3000</v>
      </c>
      <c r="R109" s="11" t="n">
        <f aca="false">IF(AND(G109="entrada",K109="PENDENTE"),ROUND(F109*00_PARAMETROS!$B$13,2),0)</f>
        <v>5000</v>
      </c>
      <c r="S109" s="24" t="n">
        <f aca="false">IF(P109+Q109&gt;0,SUMIFS(SELIC!$B$4:$B$96,SELIC!$A$4:$A$96,"&gt;="&amp;DATE(YEAR(B109),MONTH(B109)+1,1),SELIC!$A$4:$A$96,"&lt;="&amp;DATE(YEAR(00_PARAMETROS!$B$4),MONTH(00_PARAMETROS!$B$4)-1,1))+00_PARAMETROS!$B$11,0)</f>
        <v>0.1473</v>
      </c>
      <c r="T109" s="24" t="n">
        <f aca="false">IF(P109+Q109&gt;0,MIN(00_PARAMETROS!$B$9,00_PARAMETROS!$B$8*MAX(0,00_PARAMETROS!$B$4-B109)),0)</f>
        <v>0.2</v>
      </c>
      <c r="U109" s="11" t="n">
        <f aca="false">ROUND(P109*(1+S109+T109),2)</f>
        <v>0</v>
      </c>
      <c r="V109" s="11" t="n">
        <f aca="false">ROUND(Q109*(1+S109+T109),2)</f>
        <v>4041.9</v>
      </c>
      <c r="W109" s="11" t="n">
        <f aca="false">ROUND(R109*(1+S109+T109),2)</f>
        <v>6736.5</v>
      </c>
      <c r="X109" s="10"/>
    </row>
    <row r="110" customFormat="false" ht="32.8" hidden="false" customHeight="false" outlineLevel="0" collapsed="false">
      <c r="A110" s="10" t="n">
        <v>106</v>
      </c>
      <c r="B110" s="19" t="n">
        <v>45873</v>
      </c>
      <c r="C110" s="21" t="n">
        <f aca="false">YEAR(B110)</f>
        <v>2025</v>
      </c>
      <c r="D110" s="10" t="s">
        <v>274</v>
      </c>
      <c r="E110" s="10" t="s">
        <v>275</v>
      </c>
      <c r="F110" s="11" t="n">
        <v>-20000</v>
      </c>
      <c r="G110" s="10" t="s">
        <v>181</v>
      </c>
      <c r="H110" s="10" t="s">
        <v>187</v>
      </c>
      <c r="I110" s="10" t="s">
        <v>280</v>
      </c>
      <c r="J110" s="10" t="s">
        <v>276</v>
      </c>
      <c r="K110" s="22" t="s">
        <v>184</v>
      </c>
      <c r="L110" s="10" t="str">
        <f aca="false">IF(AND(G110="entrada",F110&gt;=00_PARAMETROS!$B$7),"SIM","NÃO")</f>
        <v>NÃO</v>
      </c>
      <c r="M110" s="23"/>
      <c r="N110" s="24" t="n">
        <f aca="false">IFERROR(INDEX(00_PARAMETROS!$B$41:$B$54,MATCH(K110,00_PARAMETROS!$A$41:$A$54,0)),0)</f>
        <v>0</v>
      </c>
      <c r="O110" s="11" t="n">
        <f aca="false">IF(OR(G110&lt;&gt;"entrada",N110=0),0,IF(K110="VENDA_BEM_BR_GCAP",N(M110),F110))</f>
        <v>0</v>
      </c>
      <c r="P110" s="11" t="n">
        <f aca="false">ROUND(O110*N110,2)</f>
        <v>0</v>
      </c>
      <c r="Q110" s="11" t="n">
        <f aca="false">IF(AND(G110="entrada",K110="PENDENTE"),ROUND(F110*00_PARAMETROS!$B$12,2),0)</f>
        <v>0</v>
      </c>
      <c r="R110" s="11" t="n">
        <f aca="false">IF(AND(G110="entrada",K110="PENDENTE"),ROUND(F110*00_PARAMETROS!$B$13,2),0)</f>
        <v>0</v>
      </c>
      <c r="S110" s="24" t="n">
        <f aca="false">IF(P110+Q110&gt;0,SUMIFS(SELIC!$B$4:$B$96,SELIC!$A$4:$A$96,"&gt;="&amp;DATE(YEAR(B110),MONTH(B110)+1,1),SELIC!$A$4:$A$96,"&lt;="&amp;DATE(YEAR(00_PARAMETROS!$B$4),MONTH(00_PARAMETROS!$B$4)-1,1))+00_PARAMETROS!$B$11,0)</f>
        <v>0</v>
      </c>
      <c r="T110" s="24" t="n">
        <f aca="false">IF(P110+Q110&gt;0,MIN(00_PARAMETROS!$B$9,00_PARAMETROS!$B$8*MAX(0,00_PARAMETROS!$B$4-B110)),0)</f>
        <v>0</v>
      </c>
      <c r="U110" s="11" t="n">
        <f aca="false">ROUND(P110*(1+S110+T110),2)</f>
        <v>0</v>
      </c>
      <c r="V110" s="11" t="n">
        <f aca="false">ROUND(Q110*(1+S110+T110),2)</f>
        <v>0</v>
      </c>
      <c r="W110" s="11" t="n">
        <f aca="false">ROUND(R110*(1+S110+T110),2)</f>
        <v>0</v>
      </c>
      <c r="X110" s="10" t="s">
        <v>277</v>
      </c>
    </row>
    <row r="111" customFormat="false" ht="32.8" hidden="false" customHeight="false" outlineLevel="0" collapsed="false">
      <c r="A111" s="10" t="n">
        <v>107</v>
      </c>
      <c r="B111" s="19" t="n">
        <v>45873</v>
      </c>
      <c r="C111" s="21" t="n">
        <f aca="false">YEAR(B111)</f>
        <v>2025</v>
      </c>
      <c r="D111" s="10" t="s">
        <v>274</v>
      </c>
      <c r="E111" s="10" t="s">
        <v>275</v>
      </c>
      <c r="F111" s="11" t="n">
        <v>-30000</v>
      </c>
      <c r="G111" s="10" t="s">
        <v>181</v>
      </c>
      <c r="H111" s="10" t="s">
        <v>187</v>
      </c>
      <c r="I111" s="10" t="s">
        <v>280</v>
      </c>
      <c r="J111" s="10" t="s">
        <v>276</v>
      </c>
      <c r="K111" s="22" t="s">
        <v>184</v>
      </c>
      <c r="L111" s="10" t="str">
        <f aca="false">IF(AND(G111="entrada",F111&gt;=00_PARAMETROS!$B$7),"SIM","NÃO")</f>
        <v>NÃO</v>
      </c>
      <c r="M111" s="23"/>
      <c r="N111" s="24" t="n">
        <f aca="false">IFERROR(INDEX(00_PARAMETROS!$B$41:$B$54,MATCH(K111,00_PARAMETROS!$A$41:$A$54,0)),0)</f>
        <v>0</v>
      </c>
      <c r="O111" s="11" t="n">
        <f aca="false">IF(OR(G111&lt;&gt;"entrada",N111=0),0,IF(K111="VENDA_BEM_BR_GCAP",N(M111),F111))</f>
        <v>0</v>
      </c>
      <c r="P111" s="11" t="n">
        <f aca="false">ROUND(O111*N111,2)</f>
        <v>0</v>
      </c>
      <c r="Q111" s="11" t="n">
        <f aca="false">IF(AND(G111="entrada",K111="PENDENTE"),ROUND(F111*00_PARAMETROS!$B$12,2),0)</f>
        <v>0</v>
      </c>
      <c r="R111" s="11" t="n">
        <f aca="false">IF(AND(G111="entrada",K111="PENDENTE"),ROUND(F111*00_PARAMETROS!$B$13,2),0)</f>
        <v>0</v>
      </c>
      <c r="S111" s="24" t="n">
        <f aca="false">IF(P111+Q111&gt;0,SUMIFS(SELIC!$B$4:$B$96,SELIC!$A$4:$A$96,"&gt;="&amp;DATE(YEAR(B111),MONTH(B111)+1,1),SELIC!$A$4:$A$96,"&lt;="&amp;DATE(YEAR(00_PARAMETROS!$B$4),MONTH(00_PARAMETROS!$B$4)-1,1))+00_PARAMETROS!$B$11,0)</f>
        <v>0</v>
      </c>
      <c r="T111" s="24" t="n">
        <f aca="false">IF(P111+Q111&gt;0,MIN(00_PARAMETROS!$B$9,00_PARAMETROS!$B$8*MAX(0,00_PARAMETROS!$B$4-B111)),0)</f>
        <v>0</v>
      </c>
      <c r="U111" s="11" t="n">
        <f aca="false">ROUND(P111*(1+S111+T111),2)</f>
        <v>0</v>
      </c>
      <c r="V111" s="11" t="n">
        <f aca="false">ROUND(Q111*(1+S111+T111),2)</f>
        <v>0</v>
      </c>
      <c r="W111" s="11" t="n">
        <f aca="false">ROUND(R111*(1+S111+T111),2)</f>
        <v>0</v>
      </c>
      <c r="X111" s="10" t="s">
        <v>277</v>
      </c>
    </row>
    <row r="112" customFormat="false" ht="32.8" hidden="false" customHeight="false" outlineLevel="0" collapsed="false">
      <c r="A112" s="10" t="n">
        <v>108</v>
      </c>
      <c r="B112" s="19" t="n">
        <v>45874</v>
      </c>
      <c r="C112" s="21" t="n">
        <f aca="false">YEAR(B112)</f>
        <v>2025</v>
      </c>
      <c r="D112" s="10" t="s">
        <v>286</v>
      </c>
      <c r="E112" s="10" t="s">
        <v>139</v>
      </c>
      <c r="F112" s="11" t="n">
        <v>34000</v>
      </c>
      <c r="G112" s="10" t="s">
        <v>175</v>
      </c>
      <c r="H112" s="10" t="s">
        <v>187</v>
      </c>
      <c r="I112" s="10" t="s">
        <v>280</v>
      </c>
      <c r="J112" s="25" t="s">
        <v>190</v>
      </c>
      <c r="K112" s="22" t="s">
        <v>191</v>
      </c>
      <c r="L112" s="10" t="str">
        <f aca="false">IF(AND(G112="entrada",F112&gt;=00_PARAMETROS!$B$7),"SIM","NÃO")</f>
        <v>SIM</v>
      </c>
      <c r="M112" s="23"/>
      <c r="N112" s="24" t="n">
        <f aca="false">IFERROR(INDEX(00_PARAMETROS!$B$41:$B$54,MATCH(K112,00_PARAMETROS!$A$41:$A$54,0)),0)</f>
        <v>0</v>
      </c>
      <c r="O112" s="11" t="n">
        <f aca="false">IF(OR(G112&lt;&gt;"entrada",N112=0),0,IF(K112="VENDA_BEM_BR_GCAP",N(M112),F112))</f>
        <v>0</v>
      </c>
      <c r="P112" s="11" t="n">
        <f aca="false">ROUND(O112*N112,2)</f>
        <v>0</v>
      </c>
      <c r="Q112" s="11" t="n">
        <f aca="false">IF(AND(G112="entrada",K112="PENDENTE"),ROUND(F112*00_PARAMETROS!$B$12,2),0)</f>
        <v>5100</v>
      </c>
      <c r="R112" s="11" t="n">
        <f aca="false">IF(AND(G112="entrada",K112="PENDENTE"),ROUND(F112*00_PARAMETROS!$B$13,2),0)</f>
        <v>8500</v>
      </c>
      <c r="S112" s="24" t="n">
        <f aca="false">IF(P112+Q112&gt;0,SUMIFS(SELIC!$B$4:$B$96,SELIC!$A$4:$A$96,"&gt;="&amp;DATE(YEAR(B112),MONTH(B112)+1,1),SELIC!$A$4:$A$96,"&lt;="&amp;DATE(YEAR(00_PARAMETROS!$B$4),MONTH(00_PARAMETROS!$B$4)-1,1))+00_PARAMETROS!$B$11,0)</f>
        <v>0.1473</v>
      </c>
      <c r="T112" s="24" t="n">
        <f aca="false">IF(P112+Q112&gt;0,MIN(00_PARAMETROS!$B$9,00_PARAMETROS!$B$8*MAX(0,00_PARAMETROS!$B$4-B112)),0)</f>
        <v>0.2</v>
      </c>
      <c r="U112" s="11" t="n">
        <f aca="false">ROUND(P112*(1+S112+T112),2)</f>
        <v>0</v>
      </c>
      <c r="V112" s="11" t="n">
        <f aca="false">ROUND(Q112*(1+S112+T112),2)</f>
        <v>6871.23</v>
      </c>
      <c r="W112" s="11" t="n">
        <f aca="false">ROUND(R112*(1+S112+T112),2)</f>
        <v>11452.05</v>
      </c>
      <c r="X112" s="10"/>
    </row>
    <row r="113" customFormat="false" ht="32.8" hidden="false" customHeight="false" outlineLevel="0" collapsed="false">
      <c r="A113" s="10" t="n">
        <v>109</v>
      </c>
      <c r="B113" s="19" t="n">
        <v>45874</v>
      </c>
      <c r="C113" s="21" t="n">
        <f aca="false">YEAR(B113)</f>
        <v>2025</v>
      </c>
      <c r="D113" s="10" t="s">
        <v>287</v>
      </c>
      <c r="E113" s="10" t="s">
        <v>139</v>
      </c>
      <c r="F113" s="11" t="n">
        <v>10000</v>
      </c>
      <c r="G113" s="10" t="s">
        <v>175</v>
      </c>
      <c r="H113" s="10" t="s">
        <v>187</v>
      </c>
      <c r="I113" s="10" t="s">
        <v>280</v>
      </c>
      <c r="J113" s="25" t="s">
        <v>190</v>
      </c>
      <c r="K113" s="22" t="s">
        <v>191</v>
      </c>
      <c r="L113" s="10" t="str">
        <f aca="false">IF(AND(G113="entrada",F113&gt;=00_PARAMETROS!$B$7),"SIM","NÃO")</f>
        <v>SIM</v>
      </c>
      <c r="M113" s="23"/>
      <c r="N113" s="24" t="n">
        <f aca="false">IFERROR(INDEX(00_PARAMETROS!$B$41:$B$54,MATCH(K113,00_PARAMETROS!$A$41:$A$54,0)),0)</f>
        <v>0</v>
      </c>
      <c r="O113" s="11" t="n">
        <f aca="false">IF(OR(G113&lt;&gt;"entrada",N113=0),0,IF(K113="VENDA_BEM_BR_GCAP",N(M113),F113))</f>
        <v>0</v>
      </c>
      <c r="P113" s="11" t="n">
        <f aca="false">ROUND(O113*N113,2)</f>
        <v>0</v>
      </c>
      <c r="Q113" s="11" t="n">
        <f aca="false">IF(AND(G113="entrada",K113="PENDENTE"),ROUND(F113*00_PARAMETROS!$B$12,2),0)</f>
        <v>1500</v>
      </c>
      <c r="R113" s="11" t="n">
        <f aca="false">IF(AND(G113="entrada",K113="PENDENTE"),ROUND(F113*00_PARAMETROS!$B$13,2),0)</f>
        <v>2500</v>
      </c>
      <c r="S113" s="24" t="n">
        <f aca="false">IF(P113+Q113&gt;0,SUMIFS(SELIC!$B$4:$B$96,SELIC!$A$4:$A$96,"&gt;="&amp;DATE(YEAR(B113),MONTH(B113)+1,1),SELIC!$A$4:$A$96,"&lt;="&amp;DATE(YEAR(00_PARAMETROS!$B$4),MONTH(00_PARAMETROS!$B$4)-1,1))+00_PARAMETROS!$B$11,0)</f>
        <v>0.1473</v>
      </c>
      <c r="T113" s="24" t="n">
        <f aca="false">IF(P113+Q113&gt;0,MIN(00_PARAMETROS!$B$9,00_PARAMETROS!$B$8*MAX(0,00_PARAMETROS!$B$4-B113)),0)</f>
        <v>0.2</v>
      </c>
      <c r="U113" s="11" t="n">
        <f aca="false">ROUND(P113*(1+S113+T113),2)</f>
        <v>0</v>
      </c>
      <c r="V113" s="11" t="n">
        <f aca="false">ROUND(Q113*(1+S113+T113),2)</f>
        <v>2020.95</v>
      </c>
      <c r="W113" s="11" t="n">
        <f aca="false">ROUND(R113*(1+S113+T113),2)</f>
        <v>3368.25</v>
      </c>
      <c r="X113" s="10"/>
    </row>
    <row r="114" customFormat="false" ht="32.8" hidden="false" customHeight="false" outlineLevel="0" collapsed="false">
      <c r="A114" s="10" t="n">
        <v>110</v>
      </c>
      <c r="B114" s="19" t="n">
        <v>45874</v>
      </c>
      <c r="C114" s="21" t="n">
        <f aca="false">YEAR(B114)</f>
        <v>2025</v>
      </c>
      <c r="D114" s="10" t="s">
        <v>288</v>
      </c>
      <c r="E114" s="10" t="s">
        <v>137</v>
      </c>
      <c r="F114" s="11" t="n">
        <v>45000</v>
      </c>
      <c r="G114" s="10" t="s">
        <v>175</v>
      </c>
      <c r="H114" s="10" t="s">
        <v>187</v>
      </c>
      <c r="I114" s="10" t="s">
        <v>280</v>
      </c>
      <c r="J114" s="25" t="s">
        <v>190</v>
      </c>
      <c r="K114" s="22" t="s">
        <v>191</v>
      </c>
      <c r="L114" s="10" t="str">
        <f aca="false">IF(AND(G114="entrada",F114&gt;=00_PARAMETROS!$B$7),"SIM","NÃO")</f>
        <v>SIM</v>
      </c>
      <c r="M114" s="23"/>
      <c r="N114" s="24" t="n">
        <f aca="false">IFERROR(INDEX(00_PARAMETROS!$B$41:$B$54,MATCH(K114,00_PARAMETROS!$A$41:$A$54,0)),0)</f>
        <v>0</v>
      </c>
      <c r="O114" s="11" t="n">
        <f aca="false">IF(OR(G114&lt;&gt;"entrada",N114=0),0,IF(K114="VENDA_BEM_BR_GCAP",N(M114),F114))</f>
        <v>0</v>
      </c>
      <c r="P114" s="11" t="n">
        <f aca="false">ROUND(O114*N114,2)</f>
        <v>0</v>
      </c>
      <c r="Q114" s="11" t="n">
        <f aca="false">IF(AND(G114="entrada",K114="PENDENTE"),ROUND(F114*00_PARAMETROS!$B$12,2),0)</f>
        <v>6750</v>
      </c>
      <c r="R114" s="11" t="n">
        <f aca="false">IF(AND(G114="entrada",K114="PENDENTE"),ROUND(F114*00_PARAMETROS!$B$13,2),0)</f>
        <v>11250</v>
      </c>
      <c r="S114" s="24" t="n">
        <f aca="false">IF(P114+Q114&gt;0,SUMIFS(SELIC!$B$4:$B$96,SELIC!$A$4:$A$96,"&gt;="&amp;DATE(YEAR(B114),MONTH(B114)+1,1),SELIC!$A$4:$A$96,"&lt;="&amp;DATE(YEAR(00_PARAMETROS!$B$4),MONTH(00_PARAMETROS!$B$4)-1,1))+00_PARAMETROS!$B$11,0)</f>
        <v>0.1473</v>
      </c>
      <c r="T114" s="24" t="n">
        <f aca="false">IF(P114+Q114&gt;0,MIN(00_PARAMETROS!$B$9,00_PARAMETROS!$B$8*MAX(0,00_PARAMETROS!$B$4-B114)),0)</f>
        <v>0.2</v>
      </c>
      <c r="U114" s="11" t="n">
        <f aca="false">ROUND(P114*(1+S114+T114),2)</f>
        <v>0</v>
      </c>
      <c r="V114" s="11" t="n">
        <f aca="false">ROUND(Q114*(1+S114+T114),2)</f>
        <v>9094.28</v>
      </c>
      <c r="W114" s="11" t="n">
        <f aca="false">ROUND(R114*(1+S114+T114),2)</f>
        <v>15157.13</v>
      </c>
      <c r="X114" s="10"/>
    </row>
    <row r="115" customFormat="false" ht="32.8" hidden="false" customHeight="false" outlineLevel="0" collapsed="false">
      <c r="A115" s="10" t="n">
        <v>111</v>
      </c>
      <c r="B115" s="19" t="n">
        <v>45874</v>
      </c>
      <c r="C115" s="21" t="n">
        <f aca="false">YEAR(B115)</f>
        <v>2025</v>
      </c>
      <c r="D115" s="10" t="s">
        <v>260</v>
      </c>
      <c r="E115" s="10" t="s">
        <v>135</v>
      </c>
      <c r="F115" s="11" t="n">
        <v>-230</v>
      </c>
      <c r="G115" s="10" t="s">
        <v>181</v>
      </c>
      <c r="H115" s="10" t="s">
        <v>187</v>
      </c>
      <c r="I115" s="10" t="s">
        <v>280</v>
      </c>
      <c r="J115" s="10" t="s">
        <v>188</v>
      </c>
      <c r="K115" s="22" t="s">
        <v>184</v>
      </c>
      <c r="L115" s="10" t="str">
        <f aca="false">IF(AND(G115="entrada",F115&gt;=00_PARAMETROS!$B$7),"SIM","NÃO")</f>
        <v>NÃO</v>
      </c>
      <c r="M115" s="23"/>
      <c r="N115" s="24" t="n">
        <f aca="false">IFERROR(INDEX(00_PARAMETROS!$B$41:$B$54,MATCH(K115,00_PARAMETROS!$A$41:$A$54,0)),0)</f>
        <v>0</v>
      </c>
      <c r="O115" s="11" t="n">
        <f aca="false">IF(OR(G115&lt;&gt;"entrada",N115=0),0,IF(K115="VENDA_BEM_BR_GCAP",N(M115),F115))</f>
        <v>0</v>
      </c>
      <c r="P115" s="11" t="n">
        <f aca="false">ROUND(O115*N115,2)</f>
        <v>0</v>
      </c>
      <c r="Q115" s="11" t="n">
        <f aca="false">IF(AND(G115="entrada",K115="PENDENTE"),ROUND(F115*00_PARAMETROS!$B$12,2),0)</f>
        <v>0</v>
      </c>
      <c r="R115" s="11" t="n">
        <f aca="false">IF(AND(G115="entrada",K115="PENDENTE"),ROUND(F115*00_PARAMETROS!$B$13,2),0)</f>
        <v>0</v>
      </c>
      <c r="S115" s="24" t="n">
        <f aca="false">IF(P115+Q115&gt;0,SUMIFS(SELIC!$B$4:$B$96,SELIC!$A$4:$A$96,"&gt;="&amp;DATE(YEAR(B115),MONTH(B115)+1,1),SELIC!$A$4:$A$96,"&lt;="&amp;DATE(YEAR(00_PARAMETROS!$B$4),MONTH(00_PARAMETROS!$B$4)-1,1))+00_PARAMETROS!$B$11,0)</f>
        <v>0</v>
      </c>
      <c r="T115" s="24" t="n">
        <f aca="false">IF(P115+Q115&gt;0,MIN(00_PARAMETROS!$B$9,00_PARAMETROS!$B$8*MAX(0,00_PARAMETROS!$B$4-B115)),0)</f>
        <v>0</v>
      </c>
      <c r="U115" s="11" t="n">
        <f aca="false">ROUND(P115*(1+S115+T115),2)</f>
        <v>0</v>
      </c>
      <c r="V115" s="11" t="n">
        <f aca="false">ROUND(Q115*(1+S115+T115),2)</f>
        <v>0</v>
      </c>
      <c r="W115" s="11" t="n">
        <f aca="false">ROUND(R115*(1+S115+T115),2)</f>
        <v>0</v>
      </c>
      <c r="X115" s="10"/>
    </row>
    <row r="116" customFormat="false" ht="43.25" hidden="false" customHeight="false" outlineLevel="0" collapsed="false">
      <c r="A116" s="10" t="n">
        <v>112</v>
      </c>
      <c r="B116" s="19" t="n">
        <v>45874</v>
      </c>
      <c r="C116" s="21" t="n">
        <f aca="false">YEAR(B116)</f>
        <v>2025</v>
      </c>
      <c r="D116" s="10" t="s">
        <v>289</v>
      </c>
      <c r="E116" s="10" t="s">
        <v>275</v>
      </c>
      <c r="F116" s="11" t="n">
        <v>-30000</v>
      </c>
      <c r="G116" s="10" t="s">
        <v>181</v>
      </c>
      <c r="H116" s="10" t="s">
        <v>187</v>
      </c>
      <c r="I116" s="10" t="s">
        <v>280</v>
      </c>
      <c r="J116" s="10" t="s">
        <v>276</v>
      </c>
      <c r="K116" s="22" t="s">
        <v>184</v>
      </c>
      <c r="L116" s="10" t="str">
        <f aca="false">IF(AND(G116="entrada",F116&gt;=00_PARAMETROS!$B$7),"SIM","NÃO")</f>
        <v>NÃO</v>
      </c>
      <c r="M116" s="23"/>
      <c r="N116" s="24" t="n">
        <f aca="false">IFERROR(INDEX(00_PARAMETROS!$B$41:$B$54,MATCH(K116,00_PARAMETROS!$A$41:$A$54,0)),0)</f>
        <v>0</v>
      </c>
      <c r="O116" s="11" t="n">
        <f aca="false">IF(OR(G116&lt;&gt;"entrada",N116=0),0,IF(K116="VENDA_BEM_BR_GCAP",N(M116),F116))</f>
        <v>0</v>
      </c>
      <c r="P116" s="11" t="n">
        <f aca="false">ROUND(O116*N116,2)</f>
        <v>0</v>
      </c>
      <c r="Q116" s="11" t="n">
        <f aca="false">IF(AND(G116="entrada",K116="PENDENTE"),ROUND(F116*00_PARAMETROS!$B$12,2),0)</f>
        <v>0</v>
      </c>
      <c r="R116" s="11" t="n">
        <f aca="false">IF(AND(G116="entrada",K116="PENDENTE"),ROUND(F116*00_PARAMETROS!$B$13,2),0)</f>
        <v>0</v>
      </c>
      <c r="S116" s="24" t="n">
        <f aca="false">IF(P116+Q116&gt;0,SUMIFS(SELIC!$B$4:$B$96,SELIC!$A$4:$A$96,"&gt;="&amp;DATE(YEAR(B116),MONTH(B116)+1,1),SELIC!$A$4:$A$96,"&lt;="&amp;DATE(YEAR(00_PARAMETROS!$B$4),MONTH(00_PARAMETROS!$B$4)-1,1))+00_PARAMETROS!$B$11,0)</f>
        <v>0</v>
      </c>
      <c r="T116" s="24" t="n">
        <f aca="false">IF(P116+Q116&gt;0,MIN(00_PARAMETROS!$B$9,00_PARAMETROS!$B$8*MAX(0,00_PARAMETROS!$B$4-B116)),0)</f>
        <v>0</v>
      </c>
      <c r="U116" s="11" t="n">
        <f aca="false">ROUND(P116*(1+S116+T116),2)</f>
        <v>0</v>
      </c>
      <c r="V116" s="11" t="n">
        <f aca="false">ROUND(Q116*(1+S116+T116),2)</f>
        <v>0</v>
      </c>
      <c r="W116" s="11" t="n">
        <f aca="false">ROUND(R116*(1+S116+T116),2)</f>
        <v>0</v>
      </c>
      <c r="X116" s="10" t="s">
        <v>277</v>
      </c>
    </row>
    <row r="117" customFormat="false" ht="43.25" hidden="false" customHeight="false" outlineLevel="0" collapsed="false">
      <c r="A117" s="10" t="n">
        <v>113</v>
      </c>
      <c r="B117" s="19" t="n">
        <v>45874</v>
      </c>
      <c r="C117" s="21" t="n">
        <f aca="false">YEAR(B117)</f>
        <v>2025</v>
      </c>
      <c r="D117" s="10" t="s">
        <v>289</v>
      </c>
      <c r="E117" s="10" t="s">
        <v>275</v>
      </c>
      <c r="F117" s="11" t="n">
        <v>-20000</v>
      </c>
      <c r="G117" s="10" t="s">
        <v>181</v>
      </c>
      <c r="H117" s="10" t="s">
        <v>187</v>
      </c>
      <c r="I117" s="10" t="s">
        <v>280</v>
      </c>
      <c r="J117" s="10" t="s">
        <v>276</v>
      </c>
      <c r="K117" s="22" t="s">
        <v>184</v>
      </c>
      <c r="L117" s="10" t="str">
        <f aca="false">IF(AND(G117="entrada",F117&gt;=00_PARAMETROS!$B$7),"SIM","NÃO")</f>
        <v>NÃO</v>
      </c>
      <c r="M117" s="23"/>
      <c r="N117" s="24" t="n">
        <f aca="false">IFERROR(INDEX(00_PARAMETROS!$B$41:$B$54,MATCH(K117,00_PARAMETROS!$A$41:$A$54,0)),0)</f>
        <v>0</v>
      </c>
      <c r="O117" s="11" t="n">
        <f aca="false">IF(OR(G117&lt;&gt;"entrada",N117=0),0,IF(K117="VENDA_BEM_BR_GCAP",N(M117),F117))</f>
        <v>0</v>
      </c>
      <c r="P117" s="11" t="n">
        <f aca="false">ROUND(O117*N117,2)</f>
        <v>0</v>
      </c>
      <c r="Q117" s="11" t="n">
        <f aca="false">IF(AND(G117="entrada",K117="PENDENTE"),ROUND(F117*00_PARAMETROS!$B$12,2),0)</f>
        <v>0</v>
      </c>
      <c r="R117" s="11" t="n">
        <f aca="false">IF(AND(G117="entrada",K117="PENDENTE"),ROUND(F117*00_PARAMETROS!$B$13,2),0)</f>
        <v>0</v>
      </c>
      <c r="S117" s="24" t="n">
        <f aca="false">IF(P117+Q117&gt;0,SUMIFS(SELIC!$B$4:$B$96,SELIC!$A$4:$A$96,"&gt;="&amp;DATE(YEAR(B117),MONTH(B117)+1,1),SELIC!$A$4:$A$96,"&lt;="&amp;DATE(YEAR(00_PARAMETROS!$B$4),MONTH(00_PARAMETROS!$B$4)-1,1))+00_PARAMETROS!$B$11,0)</f>
        <v>0</v>
      </c>
      <c r="T117" s="24" t="n">
        <f aca="false">IF(P117+Q117&gt;0,MIN(00_PARAMETROS!$B$9,00_PARAMETROS!$B$8*MAX(0,00_PARAMETROS!$B$4-B117)),0)</f>
        <v>0</v>
      </c>
      <c r="U117" s="11" t="n">
        <f aca="false">ROUND(P117*(1+S117+T117),2)</f>
        <v>0</v>
      </c>
      <c r="V117" s="11" t="n">
        <f aca="false">ROUND(Q117*(1+S117+T117),2)</f>
        <v>0</v>
      </c>
      <c r="W117" s="11" t="n">
        <f aca="false">ROUND(R117*(1+S117+T117),2)</f>
        <v>0</v>
      </c>
      <c r="X117" s="10" t="s">
        <v>277</v>
      </c>
    </row>
    <row r="118" customFormat="false" ht="43.25" hidden="false" customHeight="false" outlineLevel="0" collapsed="false">
      <c r="A118" s="10" t="n">
        <v>114</v>
      </c>
      <c r="B118" s="19" t="n">
        <v>45875</v>
      </c>
      <c r="C118" s="21" t="n">
        <f aca="false">YEAR(B118)</f>
        <v>2025</v>
      </c>
      <c r="D118" s="10" t="s">
        <v>289</v>
      </c>
      <c r="E118" s="10" t="s">
        <v>275</v>
      </c>
      <c r="F118" s="11" t="n">
        <v>-49000</v>
      </c>
      <c r="G118" s="10" t="s">
        <v>181</v>
      </c>
      <c r="H118" s="10" t="s">
        <v>187</v>
      </c>
      <c r="I118" s="10" t="s">
        <v>280</v>
      </c>
      <c r="J118" s="10" t="s">
        <v>276</v>
      </c>
      <c r="K118" s="22" t="s">
        <v>184</v>
      </c>
      <c r="L118" s="10" t="str">
        <f aca="false">IF(AND(G118="entrada",F118&gt;=00_PARAMETROS!$B$7),"SIM","NÃO")</f>
        <v>NÃO</v>
      </c>
      <c r="M118" s="23"/>
      <c r="N118" s="24" t="n">
        <f aca="false">IFERROR(INDEX(00_PARAMETROS!$B$41:$B$54,MATCH(K118,00_PARAMETROS!$A$41:$A$54,0)),0)</f>
        <v>0</v>
      </c>
      <c r="O118" s="11" t="n">
        <f aca="false">IF(OR(G118&lt;&gt;"entrada",N118=0),0,IF(K118="VENDA_BEM_BR_GCAP",N(M118),F118))</f>
        <v>0</v>
      </c>
      <c r="P118" s="11" t="n">
        <f aca="false">ROUND(O118*N118,2)</f>
        <v>0</v>
      </c>
      <c r="Q118" s="11" t="n">
        <f aca="false">IF(AND(G118="entrada",K118="PENDENTE"),ROUND(F118*00_PARAMETROS!$B$12,2),0)</f>
        <v>0</v>
      </c>
      <c r="R118" s="11" t="n">
        <f aca="false">IF(AND(G118="entrada",K118="PENDENTE"),ROUND(F118*00_PARAMETROS!$B$13,2),0)</f>
        <v>0</v>
      </c>
      <c r="S118" s="24" t="n">
        <f aca="false">IF(P118+Q118&gt;0,SUMIFS(SELIC!$B$4:$B$96,SELIC!$A$4:$A$96,"&gt;="&amp;DATE(YEAR(B118),MONTH(B118)+1,1),SELIC!$A$4:$A$96,"&lt;="&amp;DATE(YEAR(00_PARAMETROS!$B$4),MONTH(00_PARAMETROS!$B$4)-1,1))+00_PARAMETROS!$B$11,0)</f>
        <v>0</v>
      </c>
      <c r="T118" s="24" t="n">
        <f aca="false">IF(P118+Q118&gt;0,MIN(00_PARAMETROS!$B$9,00_PARAMETROS!$B$8*MAX(0,00_PARAMETROS!$B$4-B118)),0)</f>
        <v>0</v>
      </c>
      <c r="U118" s="11" t="n">
        <f aca="false">ROUND(P118*(1+S118+T118),2)</f>
        <v>0</v>
      </c>
      <c r="V118" s="11" t="n">
        <f aca="false">ROUND(Q118*(1+S118+T118),2)</f>
        <v>0</v>
      </c>
      <c r="W118" s="11" t="n">
        <f aca="false">ROUND(R118*(1+S118+T118),2)</f>
        <v>0</v>
      </c>
      <c r="X118" s="10" t="s">
        <v>277</v>
      </c>
    </row>
    <row r="119" customFormat="false" ht="43.25" hidden="false" customHeight="false" outlineLevel="0" collapsed="false">
      <c r="A119" s="10" t="n">
        <v>115</v>
      </c>
      <c r="B119" s="19" t="n">
        <v>45876</v>
      </c>
      <c r="C119" s="21" t="n">
        <f aca="false">YEAR(B119)</f>
        <v>2025</v>
      </c>
      <c r="D119" s="10" t="s">
        <v>290</v>
      </c>
      <c r="E119" s="10" t="s">
        <v>275</v>
      </c>
      <c r="F119" s="11" t="n">
        <v>-1000</v>
      </c>
      <c r="G119" s="10" t="s">
        <v>181</v>
      </c>
      <c r="H119" s="10" t="s">
        <v>187</v>
      </c>
      <c r="I119" s="10" t="s">
        <v>280</v>
      </c>
      <c r="J119" s="10" t="s">
        <v>276</v>
      </c>
      <c r="K119" s="22" t="s">
        <v>184</v>
      </c>
      <c r="L119" s="10" t="str">
        <f aca="false">IF(AND(G119="entrada",F119&gt;=00_PARAMETROS!$B$7),"SIM","NÃO")</f>
        <v>NÃO</v>
      </c>
      <c r="M119" s="23"/>
      <c r="N119" s="24" t="n">
        <f aca="false">IFERROR(INDEX(00_PARAMETROS!$B$41:$B$54,MATCH(K119,00_PARAMETROS!$A$41:$A$54,0)),0)</f>
        <v>0</v>
      </c>
      <c r="O119" s="11" t="n">
        <f aca="false">IF(OR(G119&lt;&gt;"entrada",N119=0),0,IF(K119="VENDA_BEM_BR_GCAP",N(M119),F119))</f>
        <v>0</v>
      </c>
      <c r="P119" s="11" t="n">
        <f aca="false">ROUND(O119*N119,2)</f>
        <v>0</v>
      </c>
      <c r="Q119" s="11" t="n">
        <f aca="false">IF(AND(G119="entrada",K119="PENDENTE"),ROUND(F119*00_PARAMETROS!$B$12,2),0)</f>
        <v>0</v>
      </c>
      <c r="R119" s="11" t="n">
        <f aca="false">IF(AND(G119="entrada",K119="PENDENTE"),ROUND(F119*00_PARAMETROS!$B$13,2),0)</f>
        <v>0</v>
      </c>
      <c r="S119" s="24" t="n">
        <f aca="false">IF(P119+Q119&gt;0,SUMIFS(SELIC!$B$4:$B$96,SELIC!$A$4:$A$96,"&gt;="&amp;DATE(YEAR(B119),MONTH(B119)+1,1),SELIC!$A$4:$A$96,"&lt;="&amp;DATE(YEAR(00_PARAMETROS!$B$4),MONTH(00_PARAMETROS!$B$4)-1,1))+00_PARAMETROS!$B$11,0)</f>
        <v>0</v>
      </c>
      <c r="T119" s="24" t="n">
        <f aca="false">IF(P119+Q119&gt;0,MIN(00_PARAMETROS!$B$9,00_PARAMETROS!$B$8*MAX(0,00_PARAMETROS!$B$4-B119)),0)</f>
        <v>0</v>
      </c>
      <c r="U119" s="11" t="n">
        <f aca="false">ROUND(P119*(1+S119+T119),2)</f>
        <v>0</v>
      </c>
      <c r="V119" s="11" t="n">
        <f aca="false">ROUND(Q119*(1+S119+T119),2)</f>
        <v>0</v>
      </c>
      <c r="W119" s="11" t="n">
        <f aca="false">ROUND(R119*(1+S119+T119),2)</f>
        <v>0</v>
      </c>
      <c r="X119" s="10" t="s">
        <v>277</v>
      </c>
    </row>
    <row r="120" customFormat="false" ht="32.8" hidden="false" customHeight="false" outlineLevel="0" collapsed="false">
      <c r="A120" s="10" t="n">
        <v>116</v>
      </c>
      <c r="B120" s="19" t="n">
        <v>45881</v>
      </c>
      <c r="C120" s="21" t="n">
        <f aca="false">YEAR(B120)</f>
        <v>2025</v>
      </c>
      <c r="D120" s="10" t="s">
        <v>291</v>
      </c>
      <c r="E120" s="10" t="s">
        <v>292</v>
      </c>
      <c r="F120" s="11" t="n">
        <v>-6255</v>
      </c>
      <c r="G120" s="10" t="s">
        <v>181</v>
      </c>
      <c r="H120" s="10" t="s">
        <v>187</v>
      </c>
      <c r="I120" s="10" t="s">
        <v>280</v>
      </c>
      <c r="J120" s="10" t="s">
        <v>188</v>
      </c>
      <c r="K120" s="22" t="s">
        <v>184</v>
      </c>
      <c r="L120" s="10" t="str">
        <f aca="false">IF(AND(G120="entrada",F120&gt;=00_PARAMETROS!$B$7),"SIM","NÃO")</f>
        <v>NÃO</v>
      </c>
      <c r="M120" s="23"/>
      <c r="N120" s="24" t="n">
        <f aca="false">IFERROR(INDEX(00_PARAMETROS!$B$41:$B$54,MATCH(K120,00_PARAMETROS!$A$41:$A$54,0)),0)</f>
        <v>0</v>
      </c>
      <c r="O120" s="11" t="n">
        <f aca="false">IF(OR(G120&lt;&gt;"entrada",N120=0),0,IF(K120="VENDA_BEM_BR_GCAP",N(M120),F120))</f>
        <v>0</v>
      </c>
      <c r="P120" s="11" t="n">
        <f aca="false">ROUND(O120*N120,2)</f>
        <v>0</v>
      </c>
      <c r="Q120" s="11" t="n">
        <f aca="false">IF(AND(G120="entrada",K120="PENDENTE"),ROUND(F120*00_PARAMETROS!$B$12,2),0)</f>
        <v>0</v>
      </c>
      <c r="R120" s="11" t="n">
        <f aca="false">IF(AND(G120="entrada",K120="PENDENTE"),ROUND(F120*00_PARAMETROS!$B$13,2),0)</f>
        <v>0</v>
      </c>
      <c r="S120" s="24" t="n">
        <f aca="false">IF(P120+Q120&gt;0,SUMIFS(SELIC!$B$4:$B$96,SELIC!$A$4:$A$96,"&gt;="&amp;DATE(YEAR(B120),MONTH(B120)+1,1),SELIC!$A$4:$A$96,"&lt;="&amp;DATE(YEAR(00_PARAMETROS!$B$4),MONTH(00_PARAMETROS!$B$4)-1,1))+00_PARAMETROS!$B$11,0)</f>
        <v>0</v>
      </c>
      <c r="T120" s="24" t="n">
        <f aca="false">IF(P120+Q120&gt;0,MIN(00_PARAMETROS!$B$9,00_PARAMETROS!$B$8*MAX(0,00_PARAMETROS!$B$4-B120)),0)</f>
        <v>0</v>
      </c>
      <c r="U120" s="11" t="n">
        <f aca="false">ROUND(P120*(1+S120+T120),2)</f>
        <v>0</v>
      </c>
      <c r="V120" s="11" t="n">
        <f aca="false">ROUND(Q120*(1+S120+T120),2)</f>
        <v>0</v>
      </c>
      <c r="W120" s="11" t="n">
        <f aca="false">ROUND(R120*(1+S120+T120),2)</f>
        <v>0</v>
      </c>
      <c r="X120" s="10"/>
    </row>
    <row r="121" customFormat="false" ht="32.8" hidden="false" customHeight="false" outlineLevel="0" collapsed="false">
      <c r="A121" s="10" t="n">
        <v>117</v>
      </c>
      <c r="B121" s="19" t="n">
        <v>45882</v>
      </c>
      <c r="C121" s="21" t="n">
        <f aca="false">YEAR(B121)</f>
        <v>2025</v>
      </c>
      <c r="D121" s="10" t="s">
        <v>260</v>
      </c>
      <c r="E121" s="10" t="s">
        <v>135</v>
      </c>
      <c r="F121" s="11" t="n">
        <v>-3000</v>
      </c>
      <c r="G121" s="10" t="s">
        <v>181</v>
      </c>
      <c r="H121" s="10" t="s">
        <v>187</v>
      </c>
      <c r="I121" s="10" t="s">
        <v>280</v>
      </c>
      <c r="J121" s="10" t="s">
        <v>188</v>
      </c>
      <c r="K121" s="22" t="s">
        <v>184</v>
      </c>
      <c r="L121" s="10" t="str">
        <f aca="false">IF(AND(G121="entrada",F121&gt;=00_PARAMETROS!$B$7),"SIM","NÃO")</f>
        <v>NÃO</v>
      </c>
      <c r="M121" s="23"/>
      <c r="N121" s="24" t="n">
        <f aca="false">IFERROR(INDEX(00_PARAMETROS!$B$41:$B$54,MATCH(K121,00_PARAMETROS!$A$41:$A$54,0)),0)</f>
        <v>0</v>
      </c>
      <c r="O121" s="11" t="n">
        <f aca="false">IF(OR(G121&lt;&gt;"entrada",N121=0),0,IF(K121="VENDA_BEM_BR_GCAP",N(M121),F121))</f>
        <v>0</v>
      </c>
      <c r="P121" s="11" t="n">
        <f aca="false">ROUND(O121*N121,2)</f>
        <v>0</v>
      </c>
      <c r="Q121" s="11" t="n">
        <f aca="false">IF(AND(G121="entrada",K121="PENDENTE"),ROUND(F121*00_PARAMETROS!$B$12,2),0)</f>
        <v>0</v>
      </c>
      <c r="R121" s="11" t="n">
        <f aca="false">IF(AND(G121="entrada",K121="PENDENTE"),ROUND(F121*00_PARAMETROS!$B$13,2),0)</f>
        <v>0</v>
      </c>
      <c r="S121" s="24" t="n">
        <f aca="false">IF(P121+Q121&gt;0,SUMIFS(SELIC!$B$4:$B$96,SELIC!$A$4:$A$96,"&gt;="&amp;DATE(YEAR(B121),MONTH(B121)+1,1),SELIC!$A$4:$A$96,"&lt;="&amp;DATE(YEAR(00_PARAMETROS!$B$4),MONTH(00_PARAMETROS!$B$4)-1,1))+00_PARAMETROS!$B$11,0)</f>
        <v>0</v>
      </c>
      <c r="T121" s="24" t="n">
        <f aca="false">IF(P121+Q121&gt;0,MIN(00_PARAMETROS!$B$9,00_PARAMETROS!$B$8*MAX(0,00_PARAMETROS!$B$4-B121)),0)</f>
        <v>0</v>
      </c>
      <c r="U121" s="11" t="n">
        <f aca="false">ROUND(P121*(1+S121+T121),2)</f>
        <v>0</v>
      </c>
      <c r="V121" s="11" t="n">
        <f aca="false">ROUND(Q121*(1+S121+T121),2)</f>
        <v>0</v>
      </c>
      <c r="W121" s="11" t="n">
        <f aca="false">ROUND(R121*(1+S121+T121),2)</f>
        <v>0</v>
      </c>
      <c r="X121" s="10"/>
    </row>
    <row r="122" customFormat="false" ht="15" hidden="false" customHeight="false" outlineLevel="0" collapsed="false">
      <c r="A122" s="10" t="n">
        <v>118</v>
      </c>
      <c r="B122" s="19" t="n">
        <v>45883</v>
      </c>
      <c r="C122" s="21" t="n">
        <f aca="false">YEAR(B122)</f>
        <v>2025</v>
      </c>
      <c r="D122" s="10" t="s">
        <v>180</v>
      </c>
      <c r="E122" s="10" t="s">
        <v>180</v>
      </c>
      <c r="F122" s="11" t="n">
        <v>-4997</v>
      </c>
      <c r="G122" s="10" t="s">
        <v>181</v>
      </c>
      <c r="H122" s="10" t="s">
        <v>182</v>
      </c>
      <c r="I122" s="10" t="s">
        <v>280</v>
      </c>
      <c r="J122" s="10" t="s">
        <v>183</v>
      </c>
      <c r="K122" s="22" t="s">
        <v>184</v>
      </c>
      <c r="L122" s="10" t="str">
        <f aca="false">IF(AND(G122="entrada",F122&gt;=00_PARAMETROS!$B$7),"SIM","NÃO")</f>
        <v>NÃO</v>
      </c>
      <c r="M122" s="23"/>
      <c r="N122" s="24" t="n">
        <f aca="false">IFERROR(INDEX(00_PARAMETROS!$B$41:$B$54,MATCH(K122,00_PARAMETROS!$A$41:$A$54,0)),0)</f>
        <v>0</v>
      </c>
      <c r="O122" s="11" t="n">
        <f aca="false">IF(OR(G122&lt;&gt;"entrada",N122=0),0,IF(K122="VENDA_BEM_BR_GCAP",N(M122),F122))</f>
        <v>0</v>
      </c>
      <c r="P122" s="11" t="n">
        <f aca="false">ROUND(O122*N122,2)</f>
        <v>0</v>
      </c>
      <c r="Q122" s="11" t="n">
        <f aca="false">IF(AND(G122="entrada",K122="PENDENTE"),ROUND(F122*00_PARAMETROS!$B$12,2),0)</f>
        <v>0</v>
      </c>
      <c r="R122" s="11" t="n">
        <f aca="false">IF(AND(G122="entrada",K122="PENDENTE"),ROUND(F122*00_PARAMETROS!$B$13,2),0)</f>
        <v>0</v>
      </c>
      <c r="S122" s="24" t="n">
        <f aca="false">IF(P122+Q122&gt;0,SUMIFS(SELIC!$B$4:$B$96,SELIC!$A$4:$A$96,"&gt;="&amp;DATE(YEAR(B122),MONTH(B122)+1,1),SELIC!$A$4:$A$96,"&lt;="&amp;DATE(YEAR(00_PARAMETROS!$B$4),MONTH(00_PARAMETROS!$B$4)-1,1))+00_PARAMETROS!$B$11,0)</f>
        <v>0</v>
      </c>
      <c r="T122" s="24" t="n">
        <f aca="false">IF(P122+Q122&gt;0,MIN(00_PARAMETROS!$B$9,00_PARAMETROS!$B$8*MAX(0,00_PARAMETROS!$B$4-B122)),0)</f>
        <v>0</v>
      </c>
      <c r="U122" s="11" t="n">
        <f aca="false">ROUND(P122*(1+S122+T122),2)</f>
        <v>0</v>
      </c>
      <c r="V122" s="11" t="n">
        <f aca="false">ROUND(Q122*(1+S122+T122),2)</f>
        <v>0</v>
      </c>
      <c r="W122" s="11" t="n">
        <f aca="false">ROUND(R122*(1+S122+T122),2)</f>
        <v>0</v>
      </c>
      <c r="X122" s="10"/>
    </row>
    <row r="123" customFormat="false" ht="32.8" hidden="false" customHeight="false" outlineLevel="0" collapsed="false">
      <c r="A123" s="10" t="n">
        <v>119</v>
      </c>
      <c r="B123" s="19" t="n">
        <v>45886</v>
      </c>
      <c r="C123" s="21" t="n">
        <f aca="false">YEAR(B123)</f>
        <v>2025</v>
      </c>
      <c r="D123" s="10" t="s">
        <v>293</v>
      </c>
      <c r="E123" s="10" t="s">
        <v>144</v>
      </c>
      <c r="F123" s="11" t="n">
        <v>-1500</v>
      </c>
      <c r="G123" s="10" t="s">
        <v>181</v>
      </c>
      <c r="H123" s="10" t="s">
        <v>187</v>
      </c>
      <c r="I123" s="10" t="s">
        <v>280</v>
      </c>
      <c r="J123" s="10" t="s">
        <v>188</v>
      </c>
      <c r="K123" s="22" t="s">
        <v>184</v>
      </c>
      <c r="L123" s="10" t="str">
        <f aca="false">IF(AND(G123="entrada",F123&gt;=00_PARAMETROS!$B$7),"SIM","NÃO")</f>
        <v>NÃO</v>
      </c>
      <c r="M123" s="23"/>
      <c r="N123" s="24" t="n">
        <f aca="false">IFERROR(INDEX(00_PARAMETROS!$B$41:$B$54,MATCH(K123,00_PARAMETROS!$A$41:$A$54,0)),0)</f>
        <v>0</v>
      </c>
      <c r="O123" s="11" t="n">
        <f aca="false">IF(OR(G123&lt;&gt;"entrada",N123=0),0,IF(K123="VENDA_BEM_BR_GCAP",N(M123),F123))</f>
        <v>0</v>
      </c>
      <c r="P123" s="11" t="n">
        <f aca="false">ROUND(O123*N123,2)</f>
        <v>0</v>
      </c>
      <c r="Q123" s="11" t="n">
        <f aca="false">IF(AND(G123="entrada",K123="PENDENTE"),ROUND(F123*00_PARAMETROS!$B$12,2),0)</f>
        <v>0</v>
      </c>
      <c r="R123" s="11" t="n">
        <f aca="false">IF(AND(G123="entrada",K123="PENDENTE"),ROUND(F123*00_PARAMETROS!$B$13,2),0)</f>
        <v>0</v>
      </c>
      <c r="S123" s="24" t="n">
        <f aca="false">IF(P123+Q123&gt;0,SUMIFS(SELIC!$B$4:$B$96,SELIC!$A$4:$A$96,"&gt;="&amp;DATE(YEAR(B123),MONTH(B123)+1,1),SELIC!$A$4:$A$96,"&lt;="&amp;DATE(YEAR(00_PARAMETROS!$B$4),MONTH(00_PARAMETROS!$B$4)-1,1))+00_PARAMETROS!$B$11,0)</f>
        <v>0</v>
      </c>
      <c r="T123" s="24" t="n">
        <f aca="false">IF(P123+Q123&gt;0,MIN(00_PARAMETROS!$B$9,00_PARAMETROS!$B$8*MAX(0,00_PARAMETROS!$B$4-B123)),0)</f>
        <v>0</v>
      </c>
      <c r="U123" s="11" t="n">
        <f aca="false">ROUND(P123*(1+S123+T123),2)</f>
        <v>0</v>
      </c>
      <c r="V123" s="11" t="n">
        <f aca="false">ROUND(Q123*(1+S123+T123),2)</f>
        <v>0</v>
      </c>
      <c r="W123" s="11" t="n">
        <f aca="false">ROUND(R123*(1+S123+T123),2)</f>
        <v>0</v>
      </c>
      <c r="X123" s="10"/>
    </row>
    <row r="124" customFormat="false" ht="32.8" hidden="false" customHeight="false" outlineLevel="0" collapsed="false">
      <c r="A124" s="10" t="n">
        <v>120</v>
      </c>
      <c r="B124" s="19" t="n">
        <v>45900</v>
      </c>
      <c r="C124" s="21" t="n">
        <f aca="false">YEAR(B124)</f>
        <v>2025</v>
      </c>
      <c r="D124" s="10" t="s">
        <v>294</v>
      </c>
      <c r="E124" s="10" t="s">
        <v>295</v>
      </c>
      <c r="F124" s="11" t="n">
        <v>-375</v>
      </c>
      <c r="G124" s="10" t="s">
        <v>181</v>
      </c>
      <c r="H124" s="10" t="s">
        <v>187</v>
      </c>
      <c r="I124" s="10" t="s">
        <v>280</v>
      </c>
      <c r="J124" s="10" t="s">
        <v>188</v>
      </c>
      <c r="K124" s="22" t="s">
        <v>184</v>
      </c>
      <c r="L124" s="10" t="str">
        <f aca="false">IF(AND(G124="entrada",F124&gt;=00_PARAMETROS!$B$7),"SIM","NÃO")</f>
        <v>NÃO</v>
      </c>
      <c r="M124" s="23"/>
      <c r="N124" s="24" t="n">
        <f aca="false">IFERROR(INDEX(00_PARAMETROS!$B$41:$B$54,MATCH(K124,00_PARAMETROS!$A$41:$A$54,0)),0)</f>
        <v>0</v>
      </c>
      <c r="O124" s="11" t="n">
        <f aca="false">IF(OR(G124&lt;&gt;"entrada",N124=0),0,IF(K124="VENDA_BEM_BR_GCAP",N(M124),F124))</f>
        <v>0</v>
      </c>
      <c r="P124" s="11" t="n">
        <f aca="false">ROUND(O124*N124,2)</f>
        <v>0</v>
      </c>
      <c r="Q124" s="11" t="n">
        <f aca="false">IF(AND(G124="entrada",K124="PENDENTE"),ROUND(F124*00_PARAMETROS!$B$12,2),0)</f>
        <v>0</v>
      </c>
      <c r="R124" s="11" t="n">
        <f aca="false">IF(AND(G124="entrada",K124="PENDENTE"),ROUND(F124*00_PARAMETROS!$B$13,2),0)</f>
        <v>0</v>
      </c>
      <c r="S124" s="24" t="n">
        <f aca="false">IF(P124+Q124&gt;0,SUMIFS(SELIC!$B$4:$B$96,SELIC!$A$4:$A$96,"&gt;="&amp;DATE(YEAR(B124),MONTH(B124)+1,1),SELIC!$A$4:$A$96,"&lt;="&amp;DATE(YEAR(00_PARAMETROS!$B$4),MONTH(00_PARAMETROS!$B$4)-1,1))+00_PARAMETROS!$B$11,0)</f>
        <v>0</v>
      </c>
      <c r="T124" s="24" t="n">
        <f aca="false">IF(P124+Q124&gt;0,MIN(00_PARAMETROS!$B$9,00_PARAMETROS!$B$8*MAX(0,00_PARAMETROS!$B$4-B124)),0)</f>
        <v>0</v>
      </c>
      <c r="U124" s="11" t="n">
        <f aca="false">ROUND(P124*(1+S124+T124),2)</f>
        <v>0</v>
      </c>
      <c r="V124" s="11" t="n">
        <f aca="false">ROUND(Q124*(1+S124+T124),2)</f>
        <v>0</v>
      </c>
      <c r="W124" s="11" t="n">
        <f aca="false">ROUND(R124*(1+S124+T124),2)</f>
        <v>0</v>
      </c>
      <c r="X124" s="10"/>
    </row>
    <row r="125" customFormat="false" ht="32.8" hidden="false" customHeight="false" outlineLevel="0" collapsed="false">
      <c r="A125" s="10" t="n">
        <v>121</v>
      </c>
      <c r="B125" s="19" t="n">
        <v>45904</v>
      </c>
      <c r="C125" s="21" t="n">
        <f aca="false">YEAR(B125)</f>
        <v>2025</v>
      </c>
      <c r="D125" s="10" t="s">
        <v>296</v>
      </c>
      <c r="E125" s="10" t="s">
        <v>297</v>
      </c>
      <c r="F125" s="11" t="n">
        <v>-110</v>
      </c>
      <c r="G125" s="10" t="s">
        <v>181</v>
      </c>
      <c r="H125" s="10" t="s">
        <v>187</v>
      </c>
      <c r="I125" s="10" t="s">
        <v>298</v>
      </c>
      <c r="J125" s="10" t="s">
        <v>188</v>
      </c>
      <c r="K125" s="22" t="s">
        <v>184</v>
      </c>
      <c r="L125" s="10" t="str">
        <f aca="false">IF(AND(G125="entrada",F125&gt;=00_PARAMETROS!$B$7),"SIM","NÃO")</f>
        <v>NÃO</v>
      </c>
      <c r="M125" s="23"/>
      <c r="N125" s="24" t="n">
        <f aca="false">IFERROR(INDEX(00_PARAMETROS!$B$41:$B$54,MATCH(K125,00_PARAMETROS!$A$41:$A$54,0)),0)</f>
        <v>0</v>
      </c>
      <c r="O125" s="11" t="n">
        <f aca="false">IF(OR(G125&lt;&gt;"entrada",N125=0),0,IF(K125="VENDA_BEM_BR_GCAP",N(M125),F125))</f>
        <v>0</v>
      </c>
      <c r="P125" s="11" t="n">
        <f aca="false">ROUND(O125*N125,2)</f>
        <v>0</v>
      </c>
      <c r="Q125" s="11" t="n">
        <f aca="false">IF(AND(G125="entrada",K125="PENDENTE"),ROUND(F125*00_PARAMETROS!$B$12,2),0)</f>
        <v>0</v>
      </c>
      <c r="R125" s="11" t="n">
        <f aca="false">IF(AND(G125="entrada",K125="PENDENTE"),ROUND(F125*00_PARAMETROS!$B$13,2),0)</f>
        <v>0</v>
      </c>
      <c r="S125" s="24" t="n">
        <f aca="false">IF(P125+Q125&gt;0,SUMIFS(SELIC!$B$4:$B$96,SELIC!$A$4:$A$96,"&gt;="&amp;DATE(YEAR(B125),MONTH(B125)+1,1),SELIC!$A$4:$A$96,"&lt;="&amp;DATE(YEAR(00_PARAMETROS!$B$4),MONTH(00_PARAMETROS!$B$4)-1,1))+00_PARAMETROS!$B$11,0)</f>
        <v>0</v>
      </c>
      <c r="T125" s="24" t="n">
        <f aca="false">IF(P125+Q125&gt;0,MIN(00_PARAMETROS!$B$9,00_PARAMETROS!$B$8*MAX(0,00_PARAMETROS!$B$4-B125)),0)</f>
        <v>0</v>
      </c>
      <c r="U125" s="11" t="n">
        <f aca="false">ROUND(P125*(1+S125+T125),2)</f>
        <v>0</v>
      </c>
      <c r="V125" s="11" t="n">
        <f aca="false">ROUND(Q125*(1+S125+T125),2)</f>
        <v>0</v>
      </c>
      <c r="W125" s="11" t="n">
        <f aca="false">ROUND(R125*(1+S125+T125),2)</f>
        <v>0</v>
      </c>
      <c r="X125" s="10"/>
    </row>
    <row r="126" customFormat="false" ht="32.8" hidden="false" customHeight="false" outlineLevel="0" collapsed="false">
      <c r="A126" s="10" t="n">
        <v>122</v>
      </c>
      <c r="B126" s="19" t="n">
        <v>45911</v>
      </c>
      <c r="C126" s="21" t="n">
        <f aca="false">YEAR(B126)</f>
        <v>2025</v>
      </c>
      <c r="D126" s="10" t="s">
        <v>299</v>
      </c>
      <c r="E126" s="10" t="s">
        <v>300</v>
      </c>
      <c r="F126" s="11" t="n">
        <v>10408</v>
      </c>
      <c r="G126" s="10" t="s">
        <v>175</v>
      </c>
      <c r="H126" s="10" t="s">
        <v>176</v>
      </c>
      <c r="I126" s="10" t="s">
        <v>298</v>
      </c>
      <c r="J126" s="10" t="s">
        <v>178</v>
      </c>
      <c r="K126" s="22" t="s">
        <v>179</v>
      </c>
      <c r="L126" s="10" t="str">
        <f aca="false">IF(AND(G126="entrada",F126&gt;=00_PARAMETROS!$B$7),"SIM","NÃO")</f>
        <v>SIM</v>
      </c>
      <c r="M126" s="23"/>
      <c r="N126" s="24" t="n">
        <f aca="false">IFERROR(INDEX(00_PARAMETROS!$B$41:$B$54,MATCH(K126,00_PARAMETROS!$A$41:$A$54,0)),0)</f>
        <v>0</v>
      </c>
      <c r="O126" s="11" t="n">
        <f aca="false">IF(OR(G126&lt;&gt;"entrada",N126=0),0,IF(K126="VENDA_BEM_BR_GCAP",N(M126),F126))</f>
        <v>0</v>
      </c>
      <c r="P126" s="11" t="n">
        <f aca="false">ROUND(O126*N126,2)</f>
        <v>0</v>
      </c>
      <c r="Q126" s="11" t="n">
        <f aca="false">IF(AND(G126="entrada",K126="PENDENTE"),ROUND(F126*00_PARAMETROS!$B$12,2),0)</f>
        <v>0</v>
      </c>
      <c r="R126" s="11" t="n">
        <f aca="false">IF(AND(G126="entrada",K126="PENDENTE"),ROUND(F126*00_PARAMETROS!$B$13,2),0)</f>
        <v>0</v>
      </c>
      <c r="S126" s="24" t="n">
        <f aca="false">IF(P126+Q126&gt;0,SUMIFS(SELIC!$B$4:$B$96,SELIC!$A$4:$A$96,"&gt;="&amp;DATE(YEAR(B126),MONTH(B126)+1,1),SELIC!$A$4:$A$96,"&lt;="&amp;DATE(YEAR(00_PARAMETROS!$B$4),MONTH(00_PARAMETROS!$B$4)-1,1))+00_PARAMETROS!$B$11,0)</f>
        <v>0</v>
      </c>
      <c r="T126" s="24" t="n">
        <f aca="false">IF(P126+Q126&gt;0,MIN(00_PARAMETROS!$B$9,00_PARAMETROS!$B$8*MAX(0,00_PARAMETROS!$B$4-B126)),0)</f>
        <v>0</v>
      </c>
      <c r="U126" s="11" t="n">
        <f aca="false">ROUND(P126*(1+S126+T126),2)</f>
        <v>0</v>
      </c>
      <c r="V126" s="11" t="n">
        <f aca="false">ROUND(Q126*(1+S126+T126),2)</f>
        <v>0</v>
      </c>
      <c r="W126" s="11" t="n">
        <f aca="false">ROUND(R126*(1+S126+T126),2)</f>
        <v>0</v>
      </c>
      <c r="X126" s="10"/>
    </row>
    <row r="127" customFormat="false" ht="32.8" hidden="false" customHeight="false" outlineLevel="0" collapsed="false">
      <c r="A127" s="10" t="n">
        <v>123</v>
      </c>
      <c r="B127" s="19" t="n">
        <v>45911</v>
      </c>
      <c r="C127" s="21" t="n">
        <f aca="false">YEAR(B127)</f>
        <v>2025</v>
      </c>
      <c r="D127" s="10" t="s">
        <v>301</v>
      </c>
      <c r="E127" s="10" t="s">
        <v>302</v>
      </c>
      <c r="F127" s="11" t="n">
        <v>10700</v>
      </c>
      <c r="G127" s="10" t="s">
        <v>175</v>
      </c>
      <c r="H127" s="10" t="s">
        <v>176</v>
      </c>
      <c r="I127" s="10" t="s">
        <v>298</v>
      </c>
      <c r="J127" s="10" t="s">
        <v>178</v>
      </c>
      <c r="K127" s="22" t="s">
        <v>179</v>
      </c>
      <c r="L127" s="10" t="str">
        <f aca="false">IF(AND(G127="entrada",F127&gt;=00_PARAMETROS!$B$7),"SIM","NÃO")</f>
        <v>SIM</v>
      </c>
      <c r="M127" s="23"/>
      <c r="N127" s="24" t="n">
        <f aca="false">IFERROR(INDEX(00_PARAMETROS!$B$41:$B$54,MATCH(K127,00_PARAMETROS!$A$41:$A$54,0)),0)</f>
        <v>0</v>
      </c>
      <c r="O127" s="11" t="n">
        <f aca="false">IF(OR(G127&lt;&gt;"entrada",N127=0),0,IF(K127="VENDA_BEM_BR_GCAP",N(M127),F127))</f>
        <v>0</v>
      </c>
      <c r="P127" s="11" t="n">
        <f aca="false">ROUND(O127*N127,2)</f>
        <v>0</v>
      </c>
      <c r="Q127" s="11" t="n">
        <f aca="false">IF(AND(G127="entrada",K127="PENDENTE"),ROUND(F127*00_PARAMETROS!$B$12,2),0)</f>
        <v>0</v>
      </c>
      <c r="R127" s="11" t="n">
        <f aca="false">IF(AND(G127="entrada",K127="PENDENTE"),ROUND(F127*00_PARAMETROS!$B$13,2),0)</f>
        <v>0</v>
      </c>
      <c r="S127" s="24" t="n">
        <f aca="false">IF(P127+Q127&gt;0,SUMIFS(SELIC!$B$4:$B$96,SELIC!$A$4:$A$96,"&gt;="&amp;DATE(YEAR(B127),MONTH(B127)+1,1),SELIC!$A$4:$A$96,"&lt;="&amp;DATE(YEAR(00_PARAMETROS!$B$4),MONTH(00_PARAMETROS!$B$4)-1,1))+00_PARAMETROS!$B$11,0)</f>
        <v>0</v>
      </c>
      <c r="T127" s="24" t="n">
        <f aca="false">IF(P127+Q127&gt;0,MIN(00_PARAMETROS!$B$9,00_PARAMETROS!$B$8*MAX(0,00_PARAMETROS!$B$4-B127)),0)</f>
        <v>0</v>
      </c>
      <c r="U127" s="11" t="n">
        <f aca="false">ROUND(P127*(1+S127+T127),2)</f>
        <v>0</v>
      </c>
      <c r="V127" s="11" t="n">
        <f aca="false">ROUND(Q127*(1+S127+T127),2)</f>
        <v>0</v>
      </c>
      <c r="W127" s="11" t="n">
        <f aca="false">ROUND(R127*(1+S127+T127),2)</f>
        <v>0</v>
      </c>
      <c r="X127" s="10"/>
    </row>
    <row r="128" customFormat="false" ht="32.8" hidden="false" customHeight="false" outlineLevel="0" collapsed="false">
      <c r="A128" s="10" t="n">
        <v>124</v>
      </c>
      <c r="B128" s="19" t="n">
        <v>45911</v>
      </c>
      <c r="C128" s="21" t="n">
        <f aca="false">YEAR(B128)</f>
        <v>2025</v>
      </c>
      <c r="D128" s="10" t="s">
        <v>303</v>
      </c>
      <c r="E128" s="10" t="s">
        <v>132</v>
      </c>
      <c r="F128" s="11" t="n">
        <v>5210</v>
      </c>
      <c r="G128" s="10" t="s">
        <v>175</v>
      </c>
      <c r="H128" s="10" t="s">
        <v>187</v>
      </c>
      <c r="I128" s="10" t="s">
        <v>298</v>
      </c>
      <c r="J128" s="25" t="s">
        <v>190</v>
      </c>
      <c r="K128" s="22" t="s">
        <v>191</v>
      </c>
      <c r="L128" s="10" t="str">
        <f aca="false">IF(AND(G128="entrada",F128&gt;=00_PARAMETROS!$B$7),"SIM","NÃO")</f>
        <v>NÃO</v>
      </c>
      <c r="M128" s="23"/>
      <c r="N128" s="24" t="n">
        <f aca="false">IFERROR(INDEX(00_PARAMETROS!$B$41:$B$54,MATCH(K128,00_PARAMETROS!$A$41:$A$54,0)),0)</f>
        <v>0</v>
      </c>
      <c r="O128" s="11" t="n">
        <f aca="false">IF(OR(G128&lt;&gt;"entrada",N128=0),0,IF(K128="VENDA_BEM_BR_GCAP",N(M128),F128))</f>
        <v>0</v>
      </c>
      <c r="P128" s="11" t="n">
        <f aca="false">ROUND(O128*N128,2)</f>
        <v>0</v>
      </c>
      <c r="Q128" s="11" t="n">
        <f aca="false">IF(AND(G128="entrada",K128="PENDENTE"),ROUND(F128*00_PARAMETROS!$B$12,2),0)</f>
        <v>781.5</v>
      </c>
      <c r="R128" s="11" t="n">
        <f aca="false">IF(AND(G128="entrada",K128="PENDENTE"),ROUND(F128*00_PARAMETROS!$B$13,2),0)</f>
        <v>1302.5</v>
      </c>
      <c r="S128" s="24" t="n">
        <f aca="false">IF(P128+Q128&gt;0,SUMIFS(SELIC!$B$4:$B$96,SELIC!$A$4:$A$96,"&gt;="&amp;DATE(YEAR(B128),MONTH(B128)+1,1),SELIC!$A$4:$A$96,"&lt;="&amp;DATE(YEAR(00_PARAMETROS!$B$4),MONTH(00_PARAMETROS!$B$4)-1,1))+00_PARAMETROS!$B$11,0)</f>
        <v>0.1351</v>
      </c>
      <c r="T128" s="24" t="n">
        <f aca="false">IF(P128+Q128&gt;0,MIN(00_PARAMETROS!$B$9,00_PARAMETROS!$B$8*MAX(0,00_PARAMETROS!$B$4-B128)),0)</f>
        <v>0.2</v>
      </c>
      <c r="U128" s="11" t="n">
        <f aca="false">ROUND(P128*(1+S128+T128),2)</f>
        <v>0</v>
      </c>
      <c r="V128" s="11" t="n">
        <f aca="false">ROUND(Q128*(1+S128+T128),2)</f>
        <v>1043.38</v>
      </c>
      <c r="W128" s="11" t="n">
        <f aca="false">ROUND(R128*(1+S128+T128),2)</f>
        <v>1738.97</v>
      </c>
      <c r="X128" s="10"/>
    </row>
    <row r="129" customFormat="false" ht="22.35" hidden="false" customHeight="false" outlineLevel="0" collapsed="false">
      <c r="A129" s="10" t="n">
        <v>125</v>
      </c>
      <c r="B129" s="19" t="n">
        <v>45911</v>
      </c>
      <c r="C129" s="21" t="n">
        <f aca="false">YEAR(B129)</f>
        <v>2025</v>
      </c>
      <c r="D129" s="10" t="s">
        <v>256</v>
      </c>
      <c r="E129" s="10" t="s">
        <v>256</v>
      </c>
      <c r="F129" s="11" t="n">
        <v>2000</v>
      </c>
      <c r="G129" s="10" t="s">
        <v>175</v>
      </c>
      <c r="H129" s="10" t="s">
        <v>182</v>
      </c>
      <c r="I129" s="10" t="s">
        <v>298</v>
      </c>
      <c r="J129" s="10" t="s">
        <v>258</v>
      </c>
      <c r="K129" s="22" t="s">
        <v>259</v>
      </c>
      <c r="L129" s="10" t="str">
        <f aca="false">IF(AND(G129="entrada",F129&gt;=00_PARAMETROS!$B$7),"SIM","NÃO")</f>
        <v>NÃO</v>
      </c>
      <c r="M129" s="23"/>
      <c r="N129" s="24" t="n">
        <f aca="false">IFERROR(INDEX(00_PARAMETROS!$B$41:$B$54,MATCH(K129,00_PARAMETROS!$A$41:$A$54,0)),0)</f>
        <v>0</v>
      </c>
      <c r="O129" s="11" t="n">
        <f aca="false">IF(OR(G129&lt;&gt;"entrada",N129=0),0,IF(K129="VENDA_BEM_BR_GCAP",N(M129),F129))</f>
        <v>0</v>
      </c>
      <c r="P129" s="11" t="n">
        <f aca="false">ROUND(O129*N129,2)</f>
        <v>0</v>
      </c>
      <c r="Q129" s="11" t="n">
        <f aca="false">IF(AND(G129="entrada",K129="PENDENTE"),ROUND(F129*00_PARAMETROS!$B$12,2),0)</f>
        <v>0</v>
      </c>
      <c r="R129" s="11" t="n">
        <f aca="false">IF(AND(G129="entrada",K129="PENDENTE"),ROUND(F129*00_PARAMETROS!$B$13,2),0)</f>
        <v>0</v>
      </c>
      <c r="S129" s="24" t="n">
        <f aca="false">IF(P129+Q129&gt;0,SUMIFS(SELIC!$B$4:$B$96,SELIC!$A$4:$A$96,"&gt;="&amp;DATE(YEAR(B129),MONTH(B129)+1,1),SELIC!$A$4:$A$96,"&lt;="&amp;DATE(YEAR(00_PARAMETROS!$B$4),MONTH(00_PARAMETROS!$B$4)-1,1))+00_PARAMETROS!$B$11,0)</f>
        <v>0</v>
      </c>
      <c r="T129" s="24" t="n">
        <f aca="false">IF(P129+Q129&gt;0,MIN(00_PARAMETROS!$B$9,00_PARAMETROS!$B$8*MAX(0,00_PARAMETROS!$B$4-B129)),0)</f>
        <v>0</v>
      </c>
      <c r="U129" s="11" t="n">
        <f aca="false">ROUND(P129*(1+S129+T129),2)</f>
        <v>0</v>
      </c>
      <c r="V129" s="11" t="n">
        <f aca="false">ROUND(Q129*(1+S129+T129),2)</f>
        <v>0</v>
      </c>
      <c r="W129" s="11" t="n">
        <f aca="false">ROUND(R129*(1+S129+T129),2)</f>
        <v>0</v>
      </c>
      <c r="X129" s="10"/>
    </row>
    <row r="130" customFormat="false" ht="32.8" hidden="false" customHeight="false" outlineLevel="0" collapsed="false">
      <c r="A130" s="10" t="n">
        <v>126</v>
      </c>
      <c r="B130" s="19" t="n">
        <v>45911</v>
      </c>
      <c r="C130" s="21" t="n">
        <f aca="false">YEAR(B130)</f>
        <v>2025</v>
      </c>
      <c r="D130" s="10" t="s">
        <v>296</v>
      </c>
      <c r="E130" s="10" t="s">
        <v>297</v>
      </c>
      <c r="F130" s="11" t="n">
        <v>-31.92</v>
      </c>
      <c r="G130" s="10" t="s">
        <v>181</v>
      </c>
      <c r="H130" s="10" t="s">
        <v>187</v>
      </c>
      <c r="I130" s="10" t="s">
        <v>298</v>
      </c>
      <c r="J130" s="10" t="s">
        <v>188</v>
      </c>
      <c r="K130" s="22" t="s">
        <v>184</v>
      </c>
      <c r="L130" s="10" t="str">
        <f aca="false">IF(AND(G130="entrada",F130&gt;=00_PARAMETROS!$B$7),"SIM","NÃO")</f>
        <v>NÃO</v>
      </c>
      <c r="M130" s="23"/>
      <c r="N130" s="24" t="n">
        <f aca="false">IFERROR(INDEX(00_PARAMETROS!$B$41:$B$54,MATCH(K130,00_PARAMETROS!$A$41:$A$54,0)),0)</f>
        <v>0</v>
      </c>
      <c r="O130" s="11" t="n">
        <f aca="false">IF(OR(G130&lt;&gt;"entrada",N130=0),0,IF(K130="VENDA_BEM_BR_GCAP",N(M130),F130))</f>
        <v>0</v>
      </c>
      <c r="P130" s="11" t="n">
        <f aca="false">ROUND(O130*N130,2)</f>
        <v>0</v>
      </c>
      <c r="Q130" s="11" t="n">
        <f aca="false">IF(AND(G130="entrada",K130="PENDENTE"),ROUND(F130*00_PARAMETROS!$B$12,2),0)</f>
        <v>0</v>
      </c>
      <c r="R130" s="11" t="n">
        <f aca="false">IF(AND(G130="entrada",K130="PENDENTE"),ROUND(F130*00_PARAMETROS!$B$13,2),0)</f>
        <v>0</v>
      </c>
      <c r="S130" s="24" t="n">
        <f aca="false">IF(P130+Q130&gt;0,SUMIFS(SELIC!$B$4:$B$96,SELIC!$A$4:$A$96,"&gt;="&amp;DATE(YEAR(B130),MONTH(B130)+1,1),SELIC!$A$4:$A$96,"&lt;="&amp;DATE(YEAR(00_PARAMETROS!$B$4),MONTH(00_PARAMETROS!$B$4)-1,1))+00_PARAMETROS!$B$11,0)</f>
        <v>0</v>
      </c>
      <c r="T130" s="24" t="n">
        <f aca="false">IF(P130+Q130&gt;0,MIN(00_PARAMETROS!$B$9,00_PARAMETROS!$B$8*MAX(0,00_PARAMETROS!$B$4-B130)),0)</f>
        <v>0</v>
      </c>
      <c r="U130" s="11" t="n">
        <f aca="false">ROUND(P130*(1+S130+T130),2)</f>
        <v>0</v>
      </c>
      <c r="V130" s="11" t="n">
        <f aca="false">ROUND(Q130*(1+S130+T130),2)</f>
        <v>0</v>
      </c>
      <c r="W130" s="11" t="n">
        <f aca="false">ROUND(R130*(1+S130+T130),2)</f>
        <v>0</v>
      </c>
      <c r="X130" s="10"/>
    </row>
    <row r="131" customFormat="false" ht="32.8" hidden="false" customHeight="false" outlineLevel="0" collapsed="false">
      <c r="A131" s="10" t="n">
        <v>127</v>
      </c>
      <c r="B131" s="19" t="n">
        <v>45912</v>
      </c>
      <c r="C131" s="21" t="n">
        <f aca="false">YEAR(B131)</f>
        <v>2025</v>
      </c>
      <c r="D131" s="10" t="s">
        <v>299</v>
      </c>
      <c r="E131" s="10" t="s">
        <v>300</v>
      </c>
      <c r="F131" s="11" t="n">
        <v>10344</v>
      </c>
      <c r="G131" s="10" t="s">
        <v>175</v>
      </c>
      <c r="H131" s="10" t="s">
        <v>176</v>
      </c>
      <c r="I131" s="10" t="s">
        <v>298</v>
      </c>
      <c r="J131" s="10" t="s">
        <v>178</v>
      </c>
      <c r="K131" s="22" t="s">
        <v>179</v>
      </c>
      <c r="L131" s="10" t="str">
        <f aca="false">IF(AND(G131="entrada",F131&gt;=00_PARAMETROS!$B$7),"SIM","NÃO")</f>
        <v>SIM</v>
      </c>
      <c r="M131" s="23"/>
      <c r="N131" s="24" t="n">
        <f aca="false">IFERROR(INDEX(00_PARAMETROS!$B$41:$B$54,MATCH(K131,00_PARAMETROS!$A$41:$A$54,0)),0)</f>
        <v>0</v>
      </c>
      <c r="O131" s="11" t="n">
        <f aca="false">IF(OR(G131&lt;&gt;"entrada",N131=0),0,IF(K131="VENDA_BEM_BR_GCAP",N(M131),F131))</f>
        <v>0</v>
      </c>
      <c r="P131" s="11" t="n">
        <f aca="false">ROUND(O131*N131,2)</f>
        <v>0</v>
      </c>
      <c r="Q131" s="11" t="n">
        <f aca="false">IF(AND(G131="entrada",K131="PENDENTE"),ROUND(F131*00_PARAMETROS!$B$12,2),0)</f>
        <v>0</v>
      </c>
      <c r="R131" s="11" t="n">
        <f aca="false">IF(AND(G131="entrada",K131="PENDENTE"),ROUND(F131*00_PARAMETROS!$B$13,2),0)</f>
        <v>0</v>
      </c>
      <c r="S131" s="24" t="n">
        <f aca="false">IF(P131+Q131&gt;0,SUMIFS(SELIC!$B$4:$B$96,SELIC!$A$4:$A$96,"&gt;="&amp;DATE(YEAR(B131),MONTH(B131)+1,1),SELIC!$A$4:$A$96,"&lt;="&amp;DATE(YEAR(00_PARAMETROS!$B$4),MONTH(00_PARAMETROS!$B$4)-1,1))+00_PARAMETROS!$B$11,0)</f>
        <v>0</v>
      </c>
      <c r="T131" s="24" t="n">
        <f aca="false">IF(P131+Q131&gt;0,MIN(00_PARAMETROS!$B$9,00_PARAMETROS!$B$8*MAX(0,00_PARAMETROS!$B$4-B131)),0)</f>
        <v>0</v>
      </c>
      <c r="U131" s="11" t="n">
        <f aca="false">ROUND(P131*(1+S131+T131),2)</f>
        <v>0</v>
      </c>
      <c r="V131" s="11" t="n">
        <f aca="false">ROUND(Q131*(1+S131+T131),2)</f>
        <v>0</v>
      </c>
      <c r="W131" s="11" t="n">
        <f aca="false">ROUND(R131*(1+S131+T131),2)</f>
        <v>0</v>
      </c>
      <c r="X131" s="10"/>
    </row>
    <row r="132" customFormat="false" ht="32.8" hidden="false" customHeight="false" outlineLevel="0" collapsed="false">
      <c r="A132" s="10" t="n">
        <v>128</v>
      </c>
      <c r="B132" s="19" t="n">
        <v>45913</v>
      </c>
      <c r="C132" s="21" t="n">
        <f aca="false">YEAR(B132)</f>
        <v>2025</v>
      </c>
      <c r="D132" s="10" t="s">
        <v>299</v>
      </c>
      <c r="E132" s="10" t="s">
        <v>300</v>
      </c>
      <c r="F132" s="11" t="n">
        <v>10343</v>
      </c>
      <c r="G132" s="10" t="s">
        <v>175</v>
      </c>
      <c r="H132" s="10" t="s">
        <v>176</v>
      </c>
      <c r="I132" s="10" t="s">
        <v>298</v>
      </c>
      <c r="J132" s="10" t="s">
        <v>178</v>
      </c>
      <c r="K132" s="22" t="s">
        <v>179</v>
      </c>
      <c r="L132" s="10" t="str">
        <f aca="false">IF(AND(G132="entrada",F132&gt;=00_PARAMETROS!$B$7),"SIM","NÃO")</f>
        <v>SIM</v>
      </c>
      <c r="M132" s="23"/>
      <c r="N132" s="24" t="n">
        <f aca="false">IFERROR(INDEX(00_PARAMETROS!$B$41:$B$54,MATCH(K132,00_PARAMETROS!$A$41:$A$54,0)),0)</f>
        <v>0</v>
      </c>
      <c r="O132" s="11" t="n">
        <f aca="false">IF(OR(G132&lt;&gt;"entrada",N132=0),0,IF(K132="VENDA_BEM_BR_GCAP",N(M132),F132))</f>
        <v>0</v>
      </c>
      <c r="P132" s="11" t="n">
        <f aca="false">ROUND(O132*N132,2)</f>
        <v>0</v>
      </c>
      <c r="Q132" s="11" t="n">
        <f aca="false">IF(AND(G132="entrada",K132="PENDENTE"),ROUND(F132*00_PARAMETROS!$B$12,2),0)</f>
        <v>0</v>
      </c>
      <c r="R132" s="11" t="n">
        <f aca="false">IF(AND(G132="entrada",K132="PENDENTE"),ROUND(F132*00_PARAMETROS!$B$13,2),0)</f>
        <v>0</v>
      </c>
      <c r="S132" s="24" t="n">
        <f aca="false">IF(P132+Q132&gt;0,SUMIFS(SELIC!$B$4:$B$96,SELIC!$A$4:$A$96,"&gt;="&amp;DATE(YEAR(B132),MONTH(B132)+1,1),SELIC!$A$4:$A$96,"&lt;="&amp;DATE(YEAR(00_PARAMETROS!$B$4),MONTH(00_PARAMETROS!$B$4)-1,1))+00_PARAMETROS!$B$11,0)</f>
        <v>0</v>
      </c>
      <c r="T132" s="24" t="n">
        <f aca="false">IF(P132+Q132&gt;0,MIN(00_PARAMETROS!$B$9,00_PARAMETROS!$B$8*MAX(0,00_PARAMETROS!$B$4-B132)),0)</f>
        <v>0</v>
      </c>
      <c r="U132" s="11" t="n">
        <f aca="false">ROUND(P132*(1+S132+T132),2)</f>
        <v>0</v>
      </c>
      <c r="V132" s="11" t="n">
        <f aca="false">ROUND(Q132*(1+S132+T132),2)</f>
        <v>0</v>
      </c>
      <c r="W132" s="11" t="n">
        <f aca="false">ROUND(R132*(1+S132+T132),2)</f>
        <v>0</v>
      </c>
      <c r="X132" s="10"/>
    </row>
    <row r="133" customFormat="false" ht="32.8" hidden="false" customHeight="false" outlineLevel="0" collapsed="false">
      <c r="A133" s="10" t="n">
        <v>129</v>
      </c>
      <c r="B133" s="19" t="n">
        <v>45917</v>
      </c>
      <c r="C133" s="21" t="n">
        <f aca="false">YEAR(B133)</f>
        <v>2025</v>
      </c>
      <c r="D133" s="10" t="s">
        <v>189</v>
      </c>
      <c r="E133" s="10" t="s">
        <v>134</v>
      </c>
      <c r="F133" s="11" t="n">
        <v>500</v>
      </c>
      <c r="G133" s="10" t="s">
        <v>175</v>
      </c>
      <c r="H133" s="10" t="s">
        <v>187</v>
      </c>
      <c r="I133" s="10" t="s">
        <v>298</v>
      </c>
      <c r="J133" s="25" t="s">
        <v>190</v>
      </c>
      <c r="K133" s="22" t="s">
        <v>191</v>
      </c>
      <c r="L133" s="10" t="str">
        <f aca="false">IF(AND(G133="entrada",F133&gt;=00_PARAMETROS!$B$7),"SIM","NÃO")</f>
        <v>NÃO</v>
      </c>
      <c r="M133" s="23"/>
      <c r="N133" s="24" t="n">
        <f aca="false">IFERROR(INDEX(00_PARAMETROS!$B$41:$B$54,MATCH(K133,00_PARAMETROS!$A$41:$A$54,0)),0)</f>
        <v>0</v>
      </c>
      <c r="O133" s="11" t="n">
        <f aca="false">IF(OR(G133&lt;&gt;"entrada",N133=0),0,IF(K133="VENDA_BEM_BR_GCAP",N(M133),F133))</f>
        <v>0</v>
      </c>
      <c r="P133" s="11" t="n">
        <f aca="false">ROUND(O133*N133,2)</f>
        <v>0</v>
      </c>
      <c r="Q133" s="11" t="n">
        <f aca="false">IF(AND(G133="entrada",K133="PENDENTE"),ROUND(F133*00_PARAMETROS!$B$12,2),0)</f>
        <v>75</v>
      </c>
      <c r="R133" s="11" t="n">
        <f aca="false">IF(AND(G133="entrada",K133="PENDENTE"),ROUND(F133*00_PARAMETROS!$B$13,2),0)</f>
        <v>125</v>
      </c>
      <c r="S133" s="24" t="n">
        <f aca="false">IF(P133+Q133&gt;0,SUMIFS(SELIC!$B$4:$B$96,SELIC!$A$4:$A$96,"&gt;="&amp;DATE(YEAR(B133),MONTH(B133)+1,1),SELIC!$A$4:$A$96,"&lt;="&amp;DATE(YEAR(00_PARAMETROS!$B$4),MONTH(00_PARAMETROS!$B$4)-1,1))+00_PARAMETROS!$B$11,0)</f>
        <v>0.1351</v>
      </c>
      <c r="T133" s="24" t="n">
        <f aca="false">IF(P133+Q133&gt;0,MIN(00_PARAMETROS!$B$9,00_PARAMETROS!$B$8*MAX(0,00_PARAMETROS!$B$4-B133)),0)</f>
        <v>0.2</v>
      </c>
      <c r="U133" s="11" t="n">
        <f aca="false">ROUND(P133*(1+S133+T133),2)</f>
        <v>0</v>
      </c>
      <c r="V133" s="11" t="n">
        <f aca="false">ROUND(Q133*(1+S133+T133),2)</f>
        <v>100.13</v>
      </c>
      <c r="W133" s="11" t="n">
        <f aca="false">ROUND(R133*(1+S133+T133),2)</f>
        <v>166.89</v>
      </c>
      <c r="X133" s="10"/>
    </row>
    <row r="134" customFormat="false" ht="22.35" hidden="false" customHeight="false" outlineLevel="0" collapsed="false">
      <c r="A134" s="10" t="n">
        <v>130</v>
      </c>
      <c r="B134" s="19" t="n">
        <v>45920</v>
      </c>
      <c r="C134" s="21" t="n">
        <f aca="false">YEAR(B134)</f>
        <v>2025</v>
      </c>
      <c r="D134" s="10" t="s">
        <v>256</v>
      </c>
      <c r="E134" s="10" t="s">
        <v>256</v>
      </c>
      <c r="F134" s="11" t="n">
        <v>3058.03</v>
      </c>
      <c r="G134" s="10" t="s">
        <v>175</v>
      </c>
      <c r="H134" s="10" t="s">
        <v>182</v>
      </c>
      <c r="I134" s="10" t="s">
        <v>298</v>
      </c>
      <c r="J134" s="10" t="s">
        <v>258</v>
      </c>
      <c r="K134" s="22" t="s">
        <v>259</v>
      </c>
      <c r="L134" s="10" t="str">
        <f aca="false">IF(AND(G134="entrada",F134&gt;=00_PARAMETROS!$B$7),"SIM","NÃO")</f>
        <v>NÃO</v>
      </c>
      <c r="M134" s="23"/>
      <c r="N134" s="24" t="n">
        <f aca="false">IFERROR(INDEX(00_PARAMETROS!$B$41:$B$54,MATCH(K134,00_PARAMETROS!$A$41:$A$54,0)),0)</f>
        <v>0</v>
      </c>
      <c r="O134" s="11" t="n">
        <f aca="false">IF(OR(G134&lt;&gt;"entrada",N134=0),0,IF(K134="VENDA_BEM_BR_GCAP",N(M134),F134))</f>
        <v>0</v>
      </c>
      <c r="P134" s="11" t="n">
        <f aca="false">ROUND(O134*N134,2)</f>
        <v>0</v>
      </c>
      <c r="Q134" s="11" t="n">
        <f aca="false">IF(AND(G134="entrada",K134="PENDENTE"),ROUND(F134*00_PARAMETROS!$B$12,2),0)</f>
        <v>0</v>
      </c>
      <c r="R134" s="11" t="n">
        <f aca="false">IF(AND(G134="entrada",K134="PENDENTE"),ROUND(F134*00_PARAMETROS!$B$13,2),0)</f>
        <v>0</v>
      </c>
      <c r="S134" s="24" t="n">
        <f aca="false">IF(P134+Q134&gt;0,SUMIFS(SELIC!$B$4:$B$96,SELIC!$A$4:$A$96,"&gt;="&amp;DATE(YEAR(B134),MONTH(B134)+1,1),SELIC!$A$4:$A$96,"&lt;="&amp;DATE(YEAR(00_PARAMETROS!$B$4),MONTH(00_PARAMETROS!$B$4)-1,1))+00_PARAMETROS!$B$11,0)</f>
        <v>0</v>
      </c>
      <c r="T134" s="24" t="n">
        <f aca="false">IF(P134+Q134&gt;0,MIN(00_PARAMETROS!$B$9,00_PARAMETROS!$B$8*MAX(0,00_PARAMETROS!$B$4-B134)),0)</f>
        <v>0</v>
      </c>
      <c r="U134" s="11" t="n">
        <f aca="false">ROUND(P134*(1+S134+T134),2)</f>
        <v>0</v>
      </c>
      <c r="V134" s="11" t="n">
        <f aca="false">ROUND(Q134*(1+S134+T134),2)</f>
        <v>0</v>
      </c>
      <c r="W134" s="11" t="n">
        <f aca="false">ROUND(R134*(1+S134+T134),2)</f>
        <v>0</v>
      </c>
      <c r="X134" s="10"/>
    </row>
    <row r="135" customFormat="false" ht="32.8" hidden="false" customHeight="false" outlineLevel="0" collapsed="false">
      <c r="A135" s="10" t="n">
        <v>131</v>
      </c>
      <c r="B135" s="19" t="n">
        <v>45920</v>
      </c>
      <c r="C135" s="21" t="n">
        <f aca="false">YEAR(B135)</f>
        <v>2025</v>
      </c>
      <c r="D135" s="10" t="s">
        <v>299</v>
      </c>
      <c r="E135" s="10" t="s">
        <v>300</v>
      </c>
      <c r="F135" s="11" t="n">
        <v>10304.4</v>
      </c>
      <c r="G135" s="10" t="s">
        <v>175</v>
      </c>
      <c r="H135" s="10" t="s">
        <v>176</v>
      </c>
      <c r="I135" s="10" t="s">
        <v>298</v>
      </c>
      <c r="J135" s="10" t="s">
        <v>178</v>
      </c>
      <c r="K135" s="22" t="s">
        <v>179</v>
      </c>
      <c r="L135" s="10" t="str">
        <f aca="false">IF(AND(G135="entrada",F135&gt;=00_PARAMETROS!$B$7),"SIM","NÃO")</f>
        <v>SIM</v>
      </c>
      <c r="M135" s="23"/>
      <c r="N135" s="24" t="n">
        <f aca="false">IFERROR(INDEX(00_PARAMETROS!$B$41:$B$54,MATCH(K135,00_PARAMETROS!$A$41:$A$54,0)),0)</f>
        <v>0</v>
      </c>
      <c r="O135" s="11" t="n">
        <f aca="false">IF(OR(G135&lt;&gt;"entrada",N135=0),0,IF(K135="VENDA_BEM_BR_GCAP",N(M135),F135))</f>
        <v>0</v>
      </c>
      <c r="P135" s="11" t="n">
        <f aca="false">ROUND(O135*N135,2)</f>
        <v>0</v>
      </c>
      <c r="Q135" s="11" t="n">
        <f aca="false">IF(AND(G135="entrada",K135="PENDENTE"),ROUND(F135*00_PARAMETROS!$B$12,2),0)</f>
        <v>0</v>
      </c>
      <c r="R135" s="11" t="n">
        <f aca="false">IF(AND(G135="entrada",K135="PENDENTE"),ROUND(F135*00_PARAMETROS!$B$13,2),0)</f>
        <v>0</v>
      </c>
      <c r="S135" s="24" t="n">
        <f aca="false">IF(P135+Q135&gt;0,SUMIFS(SELIC!$B$4:$B$96,SELIC!$A$4:$A$96,"&gt;="&amp;DATE(YEAR(B135),MONTH(B135)+1,1),SELIC!$A$4:$A$96,"&lt;="&amp;DATE(YEAR(00_PARAMETROS!$B$4),MONTH(00_PARAMETROS!$B$4)-1,1))+00_PARAMETROS!$B$11,0)</f>
        <v>0</v>
      </c>
      <c r="T135" s="24" t="n">
        <f aca="false">IF(P135+Q135&gt;0,MIN(00_PARAMETROS!$B$9,00_PARAMETROS!$B$8*MAX(0,00_PARAMETROS!$B$4-B135)),0)</f>
        <v>0</v>
      </c>
      <c r="U135" s="11" t="n">
        <f aca="false">ROUND(P135*(1+S135+T135),2)</f>
        <v>0</v>
      </c>
      <c r="V135" s="11" t="n">
        <f aca="false">ROUND(Q135*(1+S135+T135),2)</f>
        <v>0</v>
      </c>
      <c r="W135" s="11" t="n">
        <f aca="false">ROUND(R135*(1+S135+T135),2)</f>
        <v>0</v>
      </c>
      <c r="X135" s="10"/>
    </row>
    <row r="136" customFormat="false" ht="43.25" hidden="false" customHeight="false" outlineLevel="0" collapsed="false">
      <c r="A136" s="10" t="n">
        <v>132</v>
      </c>
      <c r="B136" s="19" t="n">
        <v>45920</v>
      </c>
      <c r="C136" s="21" t="n">
        <f aca="false">YEAR(B136)</f>
        <v>2025</v>
      </c>
      <c r="D136" s="10" t="s">
        <v>304</v>
      </c>
      <c r="E136" s="10" t="s">
        <v>132</v>
      </c>
      <c r="F136" s="11" t="n">
        <v>1500</v>
      </c>
      <c r="G136" s="10" t="s">
        <v>175</v>
      </c>
      <c r="H136" s="10" t="s">
        <v>187</v>
      </c>
      <c r="I136" s="10" t="s">
        <v>298</v>
      </c>
      <c r="J136" s="25" t="s">
        <v>190</v>
      </c>
      <c r="K136" s="22" t="s">
        <v>191</v>
      </c>
      <c r="L136" s="10" t="str">
        <f aca="false">IF(AND(G136="entrada",F136&gt;=00_PARAMETROS!$B$7),"SIM","NÃO")</f>
        <v>NÃO</v>
      </c>
      <c r="M136" s="23"/>
      <c r="N136" s="24" t="n">
        <f aca="false">IFERROR(INDEX(00_PARAMETROS!$B$41:$B$54,MATCH(K136,00_PARAMETROS!$A$41:$A$54,0)),0)</f>
        <v>0</v>
      </c>
      <c r="O136" s="11" t="n">
        <f aca="false">IF(OR(G136&lt;&gt;"entrada",N136=0),0,IF(K136="VENDA_BEM_BR_GCAP",N(M136),F136))</f>
        <v>0</v>
      </c>
      <c r="P136" s="11" t="n">
        <f aca="false">ROUND(O136*N136,2)</f>
        <v>0</v>
      </c>
      <c r="Q136" s="11" t="n">
        <f aca="false">IF(AND(G136="entrada",K136="PENDENTE"),ROUND(F136*00_PARAMETROS!$B$12,2),0)</f>
        <v>225</v>
      </c>
      <c r="R136" s="11" t="n">
        <f aca="false">IF(AND(G136="entrada",K136="PENDENTE"),ROUND(F136*00_PARAMETROS!$B$13,2),0)</f>
        <v>375</v>
      </c>
      <c r="S136" s="24" t="n">
        <f aca="false">IF(P136+Q136&gt;0,SUMIFS(SELIC!$B$4:$B$96,SELIC!$A$4:$A$96,"&gt;="&amp;DATE(YEAR(B136),MONTH(B136)+1,1),SELIC!$A$4:$A$96,"&lt;="&amp;DATE(YEAR(00_PARAMETROS!$B$4),MONTH(00_PARAMETROS!$B$4)-1,1))+00_PARAMETROS!$B$11,0)</f>
        <v>0.1351</v>
      </c>
      <c r="T136" s="24" t="n">
        <f aca="false">IF(P136+Q136&gt;0,MIN(00_PARAMETROS!$B$9,00_PARAMETROS!$B$8*MAX(0,00_PARAMETROS!$B$4-B136)),0)</f>
        <v>0.2</v>
      </c>
      <c r="U136" s="11" t="n">
        <f aca="false">ROUND(P136*(1+S136+T136),2)</f>
        <v>0</v>
      </c>
      <c r="V136" s="11" t="n">
        <f aca="false">ROUND(Q136*(1+S136+T136),2)</f>
        <v>300.4</v>
      </c>
      <c r="W136" s="11" t="n">
        <f aca="false">ROUND(R136*(1+S136+T136),2)</f>
        <v>500.66</v>
      </c>
      <c r="X136" s="10"/>
    </row>
    <row r="137" customFormat="false" ht="32.8" hidden="false" customHeight="false" outlineLevel="0" collapsed="false">
      <c r="A137" s="10" t="n">
        <v>133</v>
      </c>
      <c r="B137" s="19" t="n">
        <v>45922</v>
      </c>
      <c r="C137" s="21" t="n">
        <f aca="false">YEAR(B137)</f>
        <v>2025</v>
      </c>
      <c r="D137" s="10" t="s">
        <v>305</v>
      </c>
      <c r="E137" s="10" t="s">
        <v>306</v>
      </c>
      <c r="F137" s="11" t="n">
        <v>2584.6</v>
      </c>
      <c r="G137" s="10" t="s">
        <v>175</v>
      </c>
      <c r="H137" s="10" t="s">
        <v>176</v>
      </c>
      <c r="I137" s="10" t="s">
        <v>298</v>
      </c>
      <c r="J137" s="10" t="s">
        <v>178</v>
      </c>
      <c r="K137" s="22" t="s">
        <v>179</v>
      </c>
      <c r="L137" s="10" t="str">
        <f aca="false">IF(AND(G137="entrada",F137&gt;=00_PARAMETROS!$B$7),"SIM","NÃO")</f>
        <v>NÃO</v>
      </c>
      <c r="M137" s="23"/>
      <c r="N137" s="24" t="n">
        <f aca="false">IFERROR(INDEX(00_PARAMETROS!$B$41:$B$54,MATCH(K137,00_PARAMETROS!$A$41:$A$54,0)),0)</f>
        <v>0</v>
      </c>
      <c r="O137" s="11" t="n">
        <f aca="false">IF(OR(G137&lt;&gt;"entrada",N137=0),0,IF(K137="VENDA_BEM_BR_GCAP",N(M137),F137))</f>
        <v>0</v>
      </c>
      <c r="P137" s="11" t="n">
        <f aca="false">ROUND(O137*N137,2)</f>
        <v>0</v>
      </c>
      <c r="Q137" s="11" t="n">
        <f aca="false">IF(AND(G137="entrada",K137="PENDENTE"),ROUND(F137*00_PARAMETROS!$B$12,2),0)</f>
        <v>0</v>
      </c>
      <c r="R137" s="11" t="n">
        <f aca="false">IF(AND(G137="entrada",K137="PENDENTE"),ROUND(F137*00_PARAMETROS!$B$13,2),0)</f>
        <v>0</v>
      </c>
      <c r="S137" s="24" t="n">
        <f aca="false">IF(P137+Q137&gt;0,SUMIFS(SELIC!$B$4:$B$96,SELIC!$A$4:$A$96,"&gt;="&amp;DATE(YEAR(B137),MONTH(B137)+1,1),SELIC!$A$4:$A$96,"&lt;="&amp;DATE(YEAR(00_PARAMETROS!$B$4),MONTH(00_PARAMETROS!$B$4)-1,1))+00_PARAMETROS!$B$11,0)</f>
        <v>0</v>
      </c>
      <c r="T137" s="24" t="n">
        <f aca="false">IF(P137+Q137&gt;0,MIN(00_PARAMETROS!$B$9,00_PARAMETROS!$B$8*MAX(0,00_PARAMETROS!$B$4-B137)),0)</f>
        <v>0</v>
      </c>
      <c r="U137" s="11" t="n">
        <f aca="false">ROUND(P137*(1+S137+T137),2)</f>
        <v>0</v>
      </c>
      <c r="V137" s="11" t="n">
        <f aca="false">ROUND(Q137*(1+S137+T137),2)</f>
        <v>0</v>
      </c>
      <c r="W137" s="11" t="n">
        <f aca="false">ROUND(R137*(1+S137+T137),2)</f>
        <v>0</v>
      </c>
      <c r="X137" s="10"/>
    </row>
    <row r="138" customFormat="false" ht="32.8" hidden="false" customHeight="false" outlineLevel="0" collapsed="false">
      <c r="A138" s="10" t="n">
        <v>134</v>
      </c>
      <c r="B138" s="19" t="n">
        <v>45945</v>
      </c>
      <c r="C138" s="21" t="n">
        <f aca="false">YEAR(B138)</f>
        <v>2025</v>
      </c>
      <c r="D138" s="10" t="s">
        <v>307</v>
      </c>
      <c r="E138" s="10" t="s">
        <v>143</v>
      </c>
      <c r="F138" s="11" t="n">
        <v>5000</v>
      </c>
      <c r="G138" s="10" t="s">
        <v>175</v>
      </c>
      <c r="H138" s="10" t="s">
        <v>187</v>
      </c>
      <c r="I138" s="10" t="s">
        <v>308</v>
      </c>
      <c r="J138" s="25" t="s">
        <v>190</v>
      </c>
      <c r="K138" s="22" t="s">
        <v>191</v>
      </c>
      <c r="L138" s="10" t="str">
        <f aca="false">IF(AND(G138="entrada",F138&gt;=00_PARAMETROS!$B$7),"SIM","NÃO")</f>
        <v>NÃO</v>
      </c>
      <c r="M138" s="23"/>
      <c r="N138" s="24" t="n">
        <f aca="false">IFERROR(INDEX(00_PARAMETROS!$B$41:$B$54,MATCH(K138,00_PARAMETROS!$A$41:$A$54,0)),0)</f>
        <v>0</v>
      </c>
      <c r="O138" s="11" t="n">
        <f aca="false">IF(OR(G138&lt;&gt;"entrada",N138=0),0,IF(K138="VENDA_BEM_BR_GCAP",N(M138),F138))</f>
        <v>0</v>
      </c>
      <c r="P138" s="11" t="n">
        <f aca="false">ROUND(O138*N138,2)</f>
        <v>0</v>
      </c>
      <c r="Q138" s="11" t="n">
        <f aca="false">IF(AND(G138="entrada",K138="PENDENTE"),ROUND(F138*00_PARAMETROS!$B$12,2),0)</f>
        <v>750</v>
      </c>
      <c r="R138" s="11" t="n">
        <f aca="false">IF(AND(G138="entrada",K138="PENDENTE"),ROUND(F138*00_PARAMETROS!$B$13,2),0)</f>
        <v>1250</v>
      </c>
      <c r="S138" s="24" t="n">
        <f aca="false">IF(P138+Q138&gt;0,SUMIFS(SELIC!$B$4:$B$96,SELIC!$A$4:$A$96,"&gt;="&amp;DATE(YEAR(B138),MONTH(B138)+1,1),SELIC!$A$4:$A$96,"&lt;="&amp;DATE(YEAR(00_PARAMETROS!$B$4),MONTH(00_PARAMETROS!$B$4)-1,1))+00_PARAMETROS!$B$11,0)</f>
        <v>0.1223</v>
      </c>
      <c r="T138" s="24" t="n">
        <f aca="false">IF(P138+Q138&gt;0,MIN(00_PARAMETROS!$B$9,00_PARAMETROS!$B$8*MAX(0,00_PARAMETROS!$B$4-B138)),0)</f>
        <v>0.2</v>
      </c>
      <c r="U138" s="11" t="n">
        <f aca="false">ROUND(P138*(1+S138+T138),2)</f>
        <v>0</v>
      </c>
      <c r="V138" s="11" t="n">
        <f aca="false">ROUND(Q138*(1+S138+T138),2)</f>
        <v>991.73</v>
      </c>
      <c r="W138" s="11" t="n">
        <f aca="false">ROUND(R138*(1+S138+T138),2)</f>
        <v>1652.88</v>
      </c>
      <c r="X138" s="10"/>
    </row>
    <row r="139" customFormat="false" ht="32.8" hidden="false" customHeight="false" outlineLevel="0" collapsed="false">
      <c r="A139" s="10" t="n">
        <v>135</v>
      </c>
      <c r="B139" s="19" t="n">
        <v>45946</v>
      </c>
      <c r="C139" s="21" t="n">
        <f aca="false">YEAR(B139)</f>
        <v>2025</v>
      </c>
      <c r="D139" s="10" t="s">
        <v>305</v>
      </c>
      <c r="E139" s="10" t="s">
        <v>306</v>
      </c>
      <c r="F139" s="11" t="n">
        <v>5256.4</v>
      </c>
      <c r="G139" s="10" t="s">
        <v>175</v>
      </c>
      <c r="H139" s="10" t="s">
        <v>176</v>
      </c>
      <c r="I139" s="10" t="s">
        <v>308</v>
      </c>
      <c r="J139" s="10" t="s">
        <v>178</v>
      </c>
      <c r="K139" s="22" t="s">
        <v>179</v>
      </c>
      <c r="L139" s="10" t="str">
        <f aca="false">IF(AND(G139="entrada",F139&gt;=00_PARAMETROS!$B$7),"SIM","NÃO")</f>
        <v>NÃO</v>
      </c>
      <c r="M139" s="23"/>
      <c r="N139" s="24" t="n">
        <f aca="false">IFERROR(INDEX(00_PARAMETROS!$B$41:$B$54,MATCH(K139,00_PARAMETROS!$A$41:$A$54,0)),0)</f>
        <v>0</v>
      </c>
      <c r="O139" s="11" t="n">
        <f aca="false">IF(OR(G139&lt;&gt;"entrada",N139=0),0,IF(K139="VENDA_BEM_BR_GCAP",N(M139),F139))</f>
        <v>0</v>
      </c>
      <c r="P139" s="11" t="n">
        <f aca="false">ROUND(O139*N139,2)</f>
        <v>0</v>
      </c>
      <c r="Q139" s="11" t="n">
        <f aca="false">IF(AND(G139="entrada",K139="PENDENTE"),ROUND(F139*00_PARAMETROS!$B$12,2),0)</f>
        <v>0</v>
      </c>
      <c r="R139" s="11" t="n">
        <f aca="false">IF(AND(G139="entrada",K139="PENDENTE"),ROUND(F139*00_PARAMETROS!$B$13,2),0)</f>
        <v>0</v>
      </c>
      <c r="S139" s="24" t="n">
        <f aca="false">IF(P139+Q139&gt;0,SUMIFS(SELIC!$B$4:$B$96,SELIC!$A$4:$A$96,"&gt;="&amp;DATE(YEAR(B139),MONTH(B139)+1,1),SELIC!$A$4:$A$96,"&lt;="&amp;DATE(YEAR(00_PARAMETROS!$B$4),MONTH(00_PARAMETROS!$B$4)-1,1))+00_PARAMETROS!$B$11,0)</f>
        <v>0</v>
      </c>
      <c r="T139" s="24" t="n">
        <f aca="false">IF(P139+Q139&gt;0,MIN(00_PARAMETROS!$B$9,00_PARAMETROS!$B$8*MAX(0,00_PARAMETROS!$B$4-B139)),0)</f>
        <v>0</v>
      </c>
      <c r="U139" s="11" t="n">
        <f aca="false">ROUND(P139*(1+S139+T139),2)</f>
        <v>0</v>
      </c>
      <c r="V139" s="11" t="n">
        <f aca="false">ROUND(Q139*(1+S139+T139),2)</f>
        <v>0</v>
      </c>
      <c r="W139" s="11" t="n">
        <f aca="false">ROUND(R139*(1+S139+T139),2)</f>
        <v>0</v>
      </c>
      <c r="X139" s="10"/>
    </row>
    <row r="140" customFormat="false" ht="32.8" hidden="false" customHeight="false" outlineLevel="0" collapsed="false">
      <c r="A140" s="10" t="n">
        <v>136</v>
      </c>
      <c r="B140" s="19" t="n">
        <v>45946</v>
      </c>
      <c r="C140" s="21" t="n">
        <f aca="false">YEAR(B140)</f>
        <v>2025</v>
      </c>
      <c r="D140" s="10" t="s">
        <v>299</v>
      </c>
      <c r="E140" s="10" t="s">
        <v>300</v>
      </c>
      <c r="F140" s="11" t="n">
        <v>10512.8</v>
      </c>
      <c r="G140" s="10" t="s">
        <v>175</v>
      </c>
      <c r="H140" s="10" t="s">
        <v>176</v>
      </c>
      <c r="I140" s="10" t="s">
        <v>308</v>
      </c>
      <c r="J140" s="10" t="s">
        <v>178</v>
      </c>
      <c r="K140" s="22" t="s">
        <v>179</v>
      </c>
      <c r="L140" s="10" t="str">
        <f aca="false">IF(AND(G140="entrada",F140&gt;=00_PARAMETROS!$B$7),"SIM","NÃO")</f>
        <v>SIM</v>
      </c>
      <c r="M140" s="23"/>
      <c r="N140" s="24" t="n">
        <f aca="false">IFERROR(INDEX(00_PARAMETROS!$B$41:$B$54,MATCH(K140,00_PARAMETROS!$A$41:$A$54,0)),0)</f>
        <v>0</v>
      </c>
      <c r="O140" s="11" t="n">
        <f aca="false">IF(OR(G140&lt;&gt;"entrada",N140=0),0,IF(K140="VENDA_BEM_BR_GCAP",N(M140),F140))</f>
        <v>0</v>
      </c>
      <c r="P140" s="11" t="n">
        <f aca="false">ROUND(O140*N140,2)</f>
        <v>0</v>
      </c>
      <c r="Q140" s="11" t="n">
        <f aca="false">IF(AND(G140="entrada",K140="PENDENTE"),ROUND(F140*00_PARAMETROS!$B$12,2),0)</f>
        <v>0</v>
      </c>
      <c r="R140" s="11" t="n">
        <f aca="false">IF(AND(G140="entrada",K140="PENDENTE"),ROUND(F140*00_PARAMETROS!$B$13,2),0)</f>
        <v>0</v>
      </c>
      <c r="S140" s="24" t="n">
        <f aca="false">IF(P140+Q140&gt;0,SUMIFS(SELIC!$B$4:$B$96,SELIC!$A$4:$A$96,"&gt;="&amp;DATE(YEAR(B140),MONTH(B140)+1,1),SELIC!$A$4:$A$96,"&lt;="&amp;DATE(YEAR(00_PARAMETROS!$B$4),MONTH(00_PARAMETROS!$B$4)-1,1))+00_PARAMETROS!$B$11,0)</f>
        <v>0</v>
      </c>
      <c r="T140" s="24" t="n">
        <f aca="false">IF(P140+Q140&gt;0,MIN(00_PARAMETROS!$B$9,00_PARAMETROS!$B$8*MAX(0,00_PARAMETROS!$B$4-B140)),0)</f>
        <v>0</v>
      </c>
      <c r="U140" s="11" t="n">
        <f aca="false">ROUND(P140*(1+S140+T140),2)</f>
        <v>0</v>
      </c>
      <c r="V140" s="11" t="n">
        <f aca="false">ROUND(Q140*(1+S140+T140),2)</f>
        <v>0</v>
      </c>
      <c r="W140" s="11" t="n">
        <f aca="false">ROUND(R140*(1+S140+T140),2)</f>
        <v>0</v>
      </c>
      <c r="X140" s="10"/>
    </row>
    <row r="141" customFormat="false" ht="32.8" hidden="false" customHeight="false" outlineLevel="0" collapsed="false">
      <c r="A141" s="10" t="n">
        <v>137</v>
      </c>
      <c r="B141" s="19" t="n">
        <v>45946</v>
      </c>
      <c r="C141" s="21" t="n">
        <f aca="false">YEAR(B141)</f>
        <v>2025</v>
      </c>
      <c r="D141" s="10" t="s">
        <v>305</v>
      </c>
      <c r="E141" s="10" t="s">
        <v>306</v>
      </c>
      <c r="F141" s="11" t="n">
        <v>5256.4</v>
      </c>
      <c r="G141" s="10" t="s">
        <v>175</v>
      </c>
      <c r="H141" s="10" t="s">
        <v>176</v>
      </c>
      <c r="I141" s="10" t="s">
        <v>308</v>
      </c>
      <c r="J141" s="10" t="s">
        <v>178</v>
      </c>
      <c r="K141" s="22" t="s">
        <v>179</v>
      </c>
      <c r="L141" s="10" t="str">
        <f aca="false">IF(AND(G141="entrada",F141&gt;=00_PARAMETROS!$B$7),"SIM","NÃO")</f>
        <v>NÃO</v>
      </c>
      <c r="M141" s="23"/>
      <c r="N141" s="24" t="n">
        <f aca="false">IFERROR(INDEX(00_PARAMETROS!$B$41:$B$54,MATCH(K141,00_PARAMETROS!$A$41:$A$54,0)),0)</f>
        <v>0</v>
      </c>
      <c r="O141" s="11" t="n">
        <f aca="false">IF(OR(G141&lt;&gt;"entrada",N141=0),0,IF(K141="VENDA_BEM_BR_GCAP",N(M141),F141))</f>
        <v>0</v>
      </c>
      <c r="P141" s="11" t="n">
        <f aca="false">ROUND(O141*N141,2)</f>
        <v>0</v>
      </c>
      <c r="Q141" s="11" t="n">
        <f aca="false">IF(AND(G141="entrada",K141="PENDENTE"),ROUND(F141*00_PARAMETROS!$B$12,2),0)</f>
        <v>0</v>
      </c>
      <c r="R141" s="11" t="n">
        <f aca="false">IF(AND(G141="entrada",K141="PENDENTE"),ROUND(F141*00_PARAMETROS!$B$13,2),0)</f>
        <v>0</v>
      </c>
      <c r="S141" s="24" t="n">
        <f aca="false">IF(P141+Q141&gt;0,SUMIFS(SELIC!$B$4:$B$96,SELIC!$A$4:$A$96,"&gt;="&amp;DATE(YEAR(B141),MONTH(B141)+1,1),SELIC!$A$4:$A$96,"&lt;="&amp;DATE(YEAR(00_PARAMETROS!$B$4),MONTH(00_PARAMETROS!$B$4)-1,1))+00_PARAMETROS!$B$11,0)</f>
        <v>0</v>
      </c>
      <c r="T141" s="24" t="n">
        <f aca="false">IF(P141+Q141&gt;0,MIN(00_PARAMETROS!$B$9,00_PARAMETROS!$B$8*MAX(0,00_PARAMETROS!$B$4-B141)),0)</f>
        <v>0</v>
      </c>
      <c r="U141" s="11" t="n">
        <f aca="false">ROUND(P141*(1+S141+T141),2)</f>
        <v>0</v>
      </c>
      <c r="V141" s="11" t="n">
        <f aca="false">ROUND(Q141*(1+S141+T141),2)</f>
        <v>0</v>
      </c>
      <c r="W141" s="11" t="n">
        <f aca="false">ROUND(R141*(1+S141+T141),2)</f>
        <v>0</v>
      </c>
      <c r="X141" s="10"/>
    </row>
    <row r="142" customFormat="false" ht="32.8" hidden="false" customHeight="false" outlineLevel="0" collapsed="false">
      <c r="A142" s="10" t="n">
        <v>138</v>
      </c>
      <c r="B142" s="19" t="n">
        <v>45946</v>
      </c>
      <c r="C142" s="21" t="n">
        <f aca="false">YEAR(B142)</f>
        <v>2025</v>
      </c>
      <c r="D142" s="10" t="s">
        <v>305</v>
      </c>
      <c r="E142" s="10" t="s">
        <v>306</v>
      </c>
      <c r="F142" s="11" t="n">
        <v>5256.4</v>
      </c>
      <c r="G142" s="10" t="s">
        <v>175</v>
      </c>
      <c r="H142" s="10" t="s">
        <v>176</v>
      </c>
      <c r="I142" s="10" t="s">
        <v>308</v>
      </c>
      <c r="J142" s="10" t="s">
        <v>178</v>
      </c>
      <c r="K142" s="22" t="s">
        <v>179</v>
      </c>
      <c r="L142" s="10" t="str">
        <f aca="false">IF(AND(G142="entrada",F142&gt;=00_PARAMETROS!$B$7),"SIM","NÃO")</f>
        <v>NÃO</v>
      </c>
      <c r="M142" s="23"/>
      <c r="N142" s="24" t="n">
        <f aca="false">IFERROR(INDEX(00_PARAMETROS!$B$41:$B$54,MATCH(K142,00_PARAMETROS!$A$41:$A$54,0)),0)</f>
        <v>0</v>
      </c>
      <c r="O142" s="11" t="n">
        <f aca="false">IF(OR(G142&lt;&gt;"entrada",N142=0),0,IF(K142="VENDA_BEM_BR_GCAP",N(M142),F142))</f>
        <v>0</v>
      </c>
      <c r="P142" s="11" t="n">
        <f aca="false">ROUND(O142*N142,2)</f>
        <v>0</v>
      </c>
      <c r="Q142" s="11" t="n">
        <f aca="false">IF(AND(G142="entrada",K142="PENDENTE"),ROUND(F142*00_PARAMETROS!$B$12,2),0)</f>
        <v>0</v>
      </c>
      <c r="R142" s="11" t="n">
        <f aca="false">IF(AND(G142="entrada",K142="PENDENTE"),ROUND(F142*00_PARAMETROS!$B$13,2),0)</f>
        <v>0</v>
      </c>
      <c r="S142" s="24" t="n">
        <f aca="false">IF(P142+Q142&gt;0,SUMIFS(SELIC!$B$4:$B$96,SELIC!$A$4:$A$96,"&gt;="&amp;DATE(YEAR(B142),MONTH(B142)+1,1),SELIC!$A$4:$A$96,"&lt;="&amp;DATE(YEAR(00_PARAMETROS!$B$4),MONTH(00_PARAMETROS!$B$4)-1,1))+00_PARAMETROS!$B$11,0)</f>
        <v>0</v>
      </c>
      <c r="T142" s="24" t="n">
        <f aca="false">IF(P142+Q142&gt;0,MIN(00_PARAMETROS!$B$9,00_PARAMETROS!$B$8*MAX(0,00_PARAMETROS!$B$4-B142)),0)</f>
        <v>0</v>
      </c>
      <c r="U142" s="11" t="n">
        <f aca="false">ROUND(P142*(1+S142+T142),2)</f>
        <v>0</v>
      </c>
      <c r="V142" s="11" t="n">
        <f aca="false">ROUND(Q142*(1+S142+T142),2)</f>
        <v>0</v>
      </c>
      <c r="W142" s="11" t="n">
        <f aca="false">ROUND(R142*(1+S142+T142),2)</f>
        <v>0</v>
      </c>
      <c r="X142" s="10"/>
    </row>
    <row r="143" customFormat="false" ht="32.8" hidden="false" customHeight="false" outlineLevel="0" collapsed="false">
      <c r="A143" s="10" t="n">
        <v>139</v>
      </c>
      <c r="B143" s="19" t="n">
        <v>45950</v>
      </c>
      <c r="C143" s="21" t="n">
        <f aca="false">YEAR(B143)</f>
        <v>2025</v>
      </c>
      <c r="D143" s="10" t="s">
        <v>309</v>
      </c>
      <c r="E143" s="10" t="s">
        <v>306</v>
      </c>
      <c r="F143" s="11" t="n">
        <v>5200.3</v>
      </c>
      <c r="G143" s="10" t="s">
        <v>175</v>
      </c>
      <c r="H143" s="10" t="s">
        <v>176</v>
      </c>
      <c r="I143" s="10" t="s">
        <v>308</v>
      </c>
      <c r="J143" s="10" t="s">
        <v>178</v>
      </c>
      <c r="K143" s="22" t="s">
        <v>179</v>
      </c>
      <c r="L143" s="10" t="str">
        <f aca="false">IF(AND(G143="entrada",F143&gt;=00_PARAMETROS!$B$7),"SIM","NÃO")</f>
        <v>NÃO</v>
      </c>
      <c r="M143" s="23"/>
      <c r="N143" s="24" t="n">
        <f aca="false">IFERROR(INDEX(00_PARAMETROS!$B$41:$B$54,MATCH(K143,00_PARAMETROS!$A$41:$A$54,0)),0)</f>
        <v>0</v>
      </c>
      <c r="O143" s="11" t="n">
        <f aca="false">IF(OR(G143&lt;&gt;"entrada",N143=0),0,IF(K143="VENDA_BEM_BR_GCAP",N(M143),F143))</f>
        <v>0</v>
      </c>
      <c r="P143" s="11" t="n">
        <f aca="false">ROUND(O143*N143,2)</f>
        <v>0</v>
      </c>
      <c r="Q143" s="11" t="n">
        <f aca="false">IF(AND(G143="entrada",K143="PENDENTE"),ROUND(F143*00_PARAMETROS!$B$12,2),0)</f>
        <v>0</v>
      </c>
      <c r="R143" s="11" t="n">
        <f aca="false">IF(AND(G143="entrada",K143="PENDENTE"),ROUND(F143*00_PARAMETROS!$B$13,2),0)</f>
        <v>0</v>
      </c>
      <c r="S143" s="24" t="n">
        <f aca="false">IF(P143+Q143&gt;0,SUMIFS(SELIC!$B$4:$B$96,SELIC!$A$4:$A$96,"&gt;="&amp;DATE(YEAR(B143),MONTH(B143)+1,1),SELIC!$A$4:$A$96,"&lt;="&amp;DATE(YEAR(00_PARAMETROS!$B$4),MONTH(00_PARAMETROS!$B$4)-1,1))+00_PARAMETROS!$B$11,0)</f>
        <v>0</v>
      </c>
      <c r="T143" s="24" t="n">
        <f aca="false">IF(P143+Q143&gt;0,MIN(00_PARAMETROS!$B$9,00_PARAMETROS!$B$8*MAX(0,00_PARAMETROS!$B$4-B143)),0)</f>
        <v>0</v>
      </c>
      <c r="U143" s="11" t="n">
        <f aca="false">ROUND(P143*(1+S143+T143),2)</f>
        <v>0</v>
      </c>
      <c r="V143" s="11" t="n">
        <f aca="false">ROUND(Q143*(1+S143+T143),2)</f>
        <v>0</v>
      </c>
      <c r="W143" s="11" t="n">
        <f aca="false">ROUND(R143*(1+S143+T143),2)</f>
        <v>0</v>
      </c>
      <c r="X143" s="10"/>
    </row>
    <row r="144" customFormat="false" ht="32.8" hidden="false" customHeight="false" outlineLevel="0" collapsed="false">
      <c r="A144" s="10" t="n">
        <v>140</v>
      </c>
      <c r="B144" s="19" t="n">
        <v>45950</v>
      </c>
      <c r="C144" s="21" t="n">
        <f aca="false">YEAR(B144)</f>
        <v>2025</v>
      </c>
      <c r="D144" s="10" t="s">
        <v>310</v>
      </c>
      <c r="E144" s="10" t="s">
        <v>244</v>
      </c>
      <c r="F144" s="11" t="n">
        <v>-600</v>
      </c>
      <c r="G144" s="10" t="s">
        <v>181</v>
      </c>
      <c r="H144" s="10" t="s">
        <v>187</v>
      </c>
      <c r="I144" s="10" t="s">
        <v>308</v>
      </c>
      <c r="J144" s="10" t="s">
        <v>188</v>
      </c>
      <c r="K144" s="22" t="s">
        <v>184</v>
      </c>
      <c r="L144" s="10" t="str">
        <f aca="false">IF(AND(G144="entrada",F144&gt;=00_PARAMETROS!$B$7),"SIM","NÃO")</f>
        <v>NÃO</v>
      </c>
      <c r="M144" s="23"/>
      <c r="N144" s="24" t="n">
        <f aca="false">IFERROR(INDEX(00_PARAMETROS!$B$41:$B$54,MATCH(K144,00_PARAMETROS!$A$41:$A$54,0)),0)</f>
        <v>0</v>
      </c>
      <c r="O144" s="11" t="n">
        <f aca="false">IF(OR(G144&lt;&gt;"entrada",N144=0),0,IF(K144="VENDA_BEM_BR_GCAP",N(M144),F144))</f>
        <v>0</v>
      </c>
      <c r="P144" s="11" t="n">
        <f aca="false">ROUND(O144*N144,2)</f>
        <v>0</v>
      </c>
      <c r="Q144" s="11" t="n">
        <f aca="false">IF(AND(G144="entrada",K144="PENDENTE"),ROUND(F144*00_PARAMETROS!$B$12,2),0)</f>
        <v>0</v>
      </c>
      <c r="R144" s="11" t="n">
        <f aca="false">IF(AND(G144="entrada",K144="PENDENTE"),ROUND(F144*00_PARAMETROS!$B$13,2),0)</f>
        <v>0</v>
      </c>
      <c r="S144" s="24" t="n">
        <f aca="false">IF(P144+Q144&gt;0,SUMIFS(SELIC!$B$4:$B$96,SELIC!$A$4:$A$96,"&gt;="&amp;DATE(YEAR(B144),MONTH(B144)+1,1),SELIC!$A$4:$A$96,"&lt;="&amp;DATE(YEAR(00_PARAMETROS!$B$4),MONTH(00_PARAMETROS!$B$4)-1,1))+00_PARAMETROS!$B$11,0)</f>
        <v>0</v>
      </c>
      <c r="T144" s="24" t="n">
        <f aca="false">IF(P144+Q144&gt;0,MIN(00_PARAMETROS!$B$9,00_PARAMETROS!$B$8*MAX(0,00_PARAMETROS!$B$4-B144)),0)</f>
        <v>0</v>
      </c>
      <c r="U144" s="11" t="n">
        <f aca="false">ROUND(P144*(1+S144+T144),2)</f>
        <v>0</v>
      </c>
      <c r="V144" s="11" t="n">
        <f aca="false">ROUND(Q144*(1+S144+T144),2)</f>
        <v>0</v>
      </c>
      <c r="W144" s="11" t="n">
        <f aca="false">ROUND(R144*(1+S144+T144),2)</f>
        <v>0</v>
      </c>
      <c r="X144" s="10"/>
    </row>
    <row r="145" customFormat="false" ht="43.25" hidden="false" customHeight="false" outlineLevel="0" collapsed="false">
      <c r="A145" s="10" t="n">
        <v>141</v>
      </c>
      <c r="B145" s="19" t="n">
        <v>45950</v>
      </c>
      <c r="C145" s="21" t="n">
        <f aca="false">YEAR(B145)</f>
        <v>2025</v>
      </c>
      <c r="D145" s="10" t="s">
        <v>311</v>
      </c>
      <c r="E145" s="10" t="s">
        <v>312</v>
      </c>
      <c r="F145" s="11" t="n">
        <v>-800.7</v>
      </c>
      <c r="G145" s="10" t="s">
        <v>181</v>
      </c>
      <c r="H145" s="10" t="s">
        <v>187</v>
      </c>
      <c r="I145" s="10" t="s">
        <v>308</v>
      </c>
      <c r="J145" s="10" t="s">
        <v>188</v>
      </c>
      <c r="K145" s="22" t="s">
        <v>184</v>
      </c>
      <c r="L145" s="10" t="str">
        <f aca="false">IF(AND(G145="entrada",F145&gt;=00_PARAMETROS!$B$7),"SIM","NÃO")</f>
        <v>NÃO</v>
      </c>
      <c r="M145" s="23"/>
      <c r="N145" s="24" t="n">
        <f aca="false">IFERROR(INDEX(00_PARAMETROS!$B$41:$B$54,MATCH(K145,00_PARAMETROS!$A$41:$A$54,0)),0)</f>
        <v>0</v>
      </c>
      <c r="O145" s="11" t="n">
        <f aca="false">IF(OR(G145&lt;&gt;"entrada",N145=0),0,IF(K145="VENDA_BEM_BR_GCAP",N(M145),F145))</f>
        <v>0</v>
      </c>
      <c r="P145" s="11" t="n">
        <f aca="false">ROUND(O145*N145,2)</f>
        <v>0</v>
      </c>
      <c r="Q145" s="11" t="n">
        <f aca="false">IF(AND(G145="entrada",K145="PENDENTE"),ROUND(F145*00_PARAMETROS!$B$12,2),0)</f>
        <v>0</v>
      </c>
      <c r="R145" s="11" t="n">
        <f aca="false">IF(AND(G145="entrada",K145="PENDENTE"),ROUND(F145*00_PARAMETROS!$B$13,2),0)</f>
        <v>0</v>
      </c>
      <c r="S145" s="24" t="n">
        <f aca="false">IF(P145+Q145&gt;0,SUMIFS(SELIC!$B$4:$B$96,SELIC!$A$4:$A$96,"&gt;="&amp;DATE(YEAR(B145),MONTH(B145)+1,1),SELIC!$A$4:$A$96,"&lt;="&amp;DATE(YEAR(00_PARAMETROS!$B$4),MONTH(00_PARAMETROS!$B$4)-1,1))+00_PARAMETROS!$B$11,0)</f>
        <v>0</v>
      </c>
      <c r="T145" s="24" t="n">
        <f aca="false">IF(P145+Q145&gt;0,MIN(00_PARAMETROS!$B$9,00_PARAMETROS!$B$8*MAX(0,00_PARAMETROS!$B$4-B145)),0)</f>
        <v>0</v>
      </c>
      <c r="U145" s="11" t="n">
        <f aca="false">ROUND(P145*(1+S145+T145),2)</f>
        <v>0</v>
      </c>
      <c r="V145" s="11" t="n">
        <f aca="false">ROUND(Q145*(1+S145+T145),2)</f>
        <v>0</v>
      </c>
      <c r="W145" s="11" t="n">
        <f aca="false">ROUND(R145*(1+S145+T145),2)</f>
        <v>0</v>
      </c>
      <c r="X145" s="10"/>
    </row>
    <row r="146" customFormat="false" ht="32.8" hidden="false" customHeight="false" outlineLevel="0" collapsed="false">
      <c r="A146" s="10" t="n">
        <v>142</v>
      </c>
      <c r="B146" s="19" t="n">
        <v>45952</v>
      </c>
      <c r="C146" s="21" t="n">
        <f aca="false">YEAR(B146)</f>
        <v>2025</v>
      </c>
      <c r="D146" s="10" t="s">
        <v>313</v>
      </c>
      <c r="E146" s="10" t="s">
        <v>145</v>
      </c>
      <c r="F146" s="11" t="n">
        <v>480</v>
      </c>
      <c r="G146" s="10" t="s">
        <v>175</v>
      </c>
      <c r="H146" s="10" t="s">
        <v>187</v>
      </c>
      <c r="I146" s="10" t="s">
        <v>308</v>
      </c>
      <c r="J146" s="25" t="s">
        <v>190</v>
      </c>
      <c r="K146" s="22" t="s">
        <v>191</v>
      </c>
      <c r="L146" s="10" t="str">
        <f aca="false">IF(AND(G146="entrada",F146&gt;=00_PARAMETROS!$B$7),"SIM","NÃO")</f>
        <v>NÃO</v>
      </c>
      <c r="M146" s="23"/>
      <c r="N146" s="24" t="n">
        <f aca="false">IFERROR(INDEX(00_PARAMETROS!$B$41:$B$54,MATCH(K146,00_PARAMETROS!$A$41:$A$54,0)),0)</f>
        <v>0</v>
      </c>
      <c r="O146" s="11" t="n">
        <f aca="false">IF(OR(G146&lt;&gt;"entrada",N146=0),0,IF(K146="VENDA_BEM_BR_GCAP",N(M146),F146))</f>
        <v>0</v>
      </c>
      <c r="P146" s="11" t="n">
        <f aca="false">ROUND(O146*N146,2)</f>
        <v>0</v>
      </c>
      <c r="Q146" s="11" t="n">
        <f aca="false">IF(AND(G146="entrada",K146="PENDENTE"),ROUND(F146*00_PARAMETROS!$B$12,2),0)</f>
        <v>72</v>
      </c>
      <c r="R146" s="11" t="n">
        <f aca="false">IF(AND(G146="entrada",K146="PENDENTE"),ROUND(F146*00_PARAMETROS!$B$13,2),0)</f>
        <v>120</v>
      </c>
      <c r="S146" s="24" t="n">
        <f aca="false">IF(P146+Q146&gt;0,SUMIFS(SELIC!$B$4:$B$96,SELIC!$A$4:$A$96,"&gt;="&amp;DATE(YEAR(B146),MONTH(B146)+1,1),SELIC!$A$4:$A$96,"&lt;="&amp;DATE(YEAR(00_PARAMETROS!$B$4),MONTH(00_PARAMETROS!$B$4)-1,1))+00_PARAMETROS!$B$11,0)</f>
        <v>0.1223</v>
      </c>
      <c r="T146" s="24" t="n">
        <f aca="false">IF(P146+Q146&gt;0,MIN(00_PARAMETROS!$B$9,00_PARAMETROS!$B$8*MAX(0,00_PARAMETROS!$B$4-B146)),0)</f>
        <v>0.2</v>
      </c>
      <c r="U146" s="11" t="n">
        <f aca="false">ROUND(P146*(1+S146+T146),2)</f>
        <v>0</v>
      </c>
      <c r="V146" s="11" t="n">
        <f aca="false">ROUND(Q146*(1+S146+T146),2)</f>
        <v>95.21</v>
      </c>
      <c r="W146" s="11" t="n">
        <f aca="false">ROUND(R146*(1+S146+T146),2)</f>
        <v>158.68</v>
      </c>
      <c r="X146" s="10"/>
    </row>
    <row r="147" customFormat="false" ht="15" hidden="false" customHeight="false" outlineLevel="0" collapsed="false">
      <c r="A147" s="10" t="n">
        <v>143</v>
      </c>
      <c r="B147" s="19" t="n">
        <v>45957</v>
      </c>
      <c r="C147" s="21" t="n">
        <f aca="false">YEAR(B147)</f>
        <v>2025</v>
      </c>
      <c r="D147" s="10" t="s">
        <v>192</v>
      </c>
      <c r="E147" s="10" t="s">
        <v>193</v>
      </c>
      <c r="F147" s="11" t="n">
        <v>-1000</v>
      </c>
      <c r="G147" s="10" t="s">
        <v>181</v>
      </c>
      <c r="H147" s="10" t="s">
        <v>182</v>
      </c>
      <c r="I147" s="10" t="s">
        <v>308</v>
      </c>
      <c r="J147" s="10" t="s">
        <v>183</v>
      </c>
      <c r="K147" s="22" t="s">
        <v>184</v>
      </c>
      <c r="L147" s="10" t="str">
        <f aca="false">IF(AND(G147="entrada",F147&gt;=00_PARAMETROS!$B$7),"SIM","NÃO")</f>
        <v>NÃO</v>
      </c>
      <c r="M147" s="23"/>
      <c r="N147" s="24" t="n">
        <f aca="false">IFERROR(INDEX(00_PARAMETROS!$B$41:$B$54,MATCH(K147,00_PARAMETROS!$A$41:$A$54,0)),0)</f>
        <v>0</v>
      </c>
      <c r="O147" s="11" t="n">
        <f aca="false">IF(OR(G147&lt;&gt;"entrada",N147=0),0,IF(K147="VENDA_BEM_BR_GCAP",N(M147),F147))</f>
        <v>0</v>
      </c>
      <c r="P147" s="11" t="n">
        <f aca="false">ROUND(O147*N147,2)</f>
        <v>0</v>
      </c>
      <c r="Q147" s="11" t="n">
        <f aca="false">IF(AND(G147="entrada",K147="PENDENTE"),ROUND(F147*00_PARAMETROS!$B$12,2),0)</f>
        <v>0</v>
      </c>
      <c r="R147" s="11" t="n">
        <f aca="false">IF(AND(G147="entrada",K147="PENDENTE"),ROUND(F147*00_PARAMETROS!$B$13,2),0)</f>
        <v>0</v>
      </c>
      <c r="S147" s="24" t="n">
        <f aca="false">IF(P147+Q147&gt;0,SUMIFS(SELIC!$B$4:$B$96,SELIC!$A$4:$A$96,"&gt;="&amp;DATE(YEAR(B147),MONTH(B147)+1,1),SELIC!$A$4:$A$96,"&lt;="&amp;DATE(YEAR(00_PARAMETROS!$B$4),MONTH(00_PARAMETROS!$B$4)-1,1))+00_PARAMETROS!$B$11,0)</f>
        <v>0</v>
      </c>
      <c r="T147" s="24" t="n">
        <f aca="false">IF(P147+Q147&gt;0,MIN(00_PARAMETROS!$B$9,00_PARAMETROS!$B$8*MAX(0,00_PARAMETROS!$B$4-B147)),0)</f>
        <v>0</v>
      </c>
      <c r="U147" s="11" t="n">
        <f aca="false">ROUND(P147*(1+S147+T147),2)</f>
        <v>0</v>
      </c>
      <c r="V147" s="11" t="n">
        <f aca="false">ROUND(Q147*(1+S147+T147),2)</f>
        <v>0</v>
      </c>
      <c r="W147" s="11" t="n">
        <f aca="false">ROUND(R147*(1+S147+T147),2)</f>
        <v>0</v>
      </c>
      <c r="X147" s="10"/>
    </row>
    <row r="148" customFormat="false" ht="32.8" hidden="false" customHeight="false" outlineLevel="0" collapsed="false">
      <c r="A148" s="10" t="n">
        <v>144</v>
      </c>
      <c r="B148" s="19" t="n">
        <v>45971</v>
      </c>
      <c r="C148" s="21" t="n">
        <f aca="false">YEAR(B148)</f>
        <v>2025</v>
      </c>
      <c r="D148" s="10" t="s">
        <v>314</v>
      </c>
      <c r="E148" s="10" t="s">
        <v>141</v>
      </c>
      <c r="F148" s="11" t="n">
        <v>25000</v>
      </c>
      <c r="G148" s="10" t="s">
        <v>175</v>
      </c>
      <c r="H148" s="10" t="s">
        <v>187</v>
      </c>
      <c r="I148" s="10" t="s">
        <v>315</v>
      </c>
      <c r="J148" s="25" t="s">
        <v>190</v>
      </c>
      <c r="K148" s="22" t="s">
        <v>191</v>
      </c>
      <c r="L148" s="10" t="str">
        <f aca="false">IF(AND(G148="entrada",F148&gt;=00_PARAMETROS!$B$7),"SIM","NÃO")</f>
        <v>SIM</v>
      </c>
      <c r="M148" s="23"/>
      <c r="N148" s="24" t="n">
        <f aca="false">IFERROR(INDEX(00_PARAMETROS!$B$41:$B$54,MATCH(K148,00_PARAMETROS!$A$41:$A$54,0)),0)</f>
        <v>0</v>
      </c>
      <c r="O148" s="11" t="n">
        <f aca="false">IF(OR(G148&lt;&gt;"entrada",N148=0),0,IF(K148="VENDA_BEM_BR_GCAP",N(M148),F148))</f>
        <v>0</v>
      </c>
      <c r="P148" s="11" t="n">
        <f aca="false">ROUND(O148*N148,2)</f>
        <v>0</v>
      </c>
      <c r="Q148" s="11" t="n">
        <f aca="false">IF(AND(G148="entrada",K148="PENDENTE"),ROUND(F148*00_PARAMETROS!$B$12,2),0)</f>
        <v>3750</v>
      </c>
      <c r="R148" s="11" t="n">
        <f aca="false">IF(AND(G148="entrada",K148="PENDENTE"),ROUND(F148*00_PARAMETROS!$B$13,2),0)</f>
        <v>6250</v>
      </c>
      <c r="S148" s="24" t="n">
        <f aca="false">IF(P148+Q148&gt;0,SUMIFS(SELIC!$B$4:$B$96,SELIC!$A$4:$A$96,"&gt;="&amp;DATE(YEAR(B148),MONTH(B148)+1,1),SELIC!$A$4:$A$96,"&lt;="&amp;DATE(YEAR(00_PARAMETROS!$B$4),MONTH(00_PARAMETROS!$B$4)-1,1))+00_PARAMETROS!$B$11,0)</f>
        <v>0.1118</v>
      </c>
      <c r="T148" s="24" t="n">
        <f aca="false">IF(P148+Q148&gt;0,MIN(00_PARAMETROS!$B$9,00_PARAMETROS!$B$8*MAX(0,00_PARAMETROS!$B$4-B148)),0)</f>
        <v>0.2</v>
      </c>
      <c r="U148" s="11" t="n">
        <f aca="false">ROUND(P148*(1+S148+T148),2)</f>
        <v>0</v>
      </c>
      <c r="V148" s="11" t="n">
        <f aca="false">ROUND(Q148*(1+S148+T148),2)</f>
        <v>4919.25</v>
      </c>
      <c r="W148" s="11" t="n">
        <f aca="false">ROUND(R148*(1+S148+T148),2)</f>
        <v>8198.75</v>
      </c>
      <c r="X148" s="10"/>
    </row>
    <row r="149" customFormat="false" ht="15" hidden="false" customHeight="false" outlineLevel="0" collapsed="false">
      <c r="A149" s="10" t="n">
        <v>145</v>
      </c>
      <c r="B149" s="19" t="n">
        <v>45971</v>
      </c>
      <c r="C149" s="21" t="n">
        <f aca="false">YEAR(B149)</f>
        <v>2025</v>
      </c>
      <c r="D149" s="10" t="s">
        <v>180</v>
      </c>
      <c r="E149" s="10" t="s">
        <v>180</v>
      </c>
      <c r="F149" s="11" t="n">
        <v>-25000</v>
      </c>
      <c r="G149" s="10" t="s">
        <v>181</v>
      </c>
      <c r="H149" s="10" t="s">
        <v>182</v>
      </c>
      <c r="I149" s="10" t="s">
        <v>315</v>
      </c>
      <c r="J149" s="10" t="s">
        <v>183</v>
      </c>
      <c r="K149" s="22" t="s">
        <v>184</v>
      </c>
      <c r="L149" s="10" t="str">
        <f aca="false">IF(AND(G149="entrada",F149&gt;=00_PARAMETROS!$B$7),"SIM","NÃO")</f>
        <v>NÃO</v>
      </c>
      <c r="M149" s="23"/>
      <c r="N149" s="24" t="n">
        <f aca="false">IFERROR(INDEX(00_PARAMETROS!$B$41:$B$54,MATCH(K149,00_PARAMETROS!$A$41:$A$54,0)),0)</f>
        <v>0</v>
      </c>
      <c r="O149" s="11" t="n">
        <f aca="false">IF(OR(G149&lt;&gt;"entrada",N149=0),0,IF(K149="VENDA_BEM_BR_GCAP",N(M149),F149))</f>
        <v>0</v>
      </c>
      <c r="P149" s="11" t="n">
        <f aca="false">ROUND(O149*N149,2)</f>
        <v>0</v>
      </c>
      <c r="Q149" s="11" t="n">
        <f aca="false">IF(AND(G149="entrada",K149="PENDENTE"),ROUND(F149*00_PARAMETROS!$B$12,2),0)</f>
        <v>0</v>
      </c>
      <c r="R149" s="11" t="n">
        <f aca="false">IF(AND(G149="entrada",K149="PENDENTE"),ROUND(F149*00_PARAMETROS!$B$13,2),0)</f>
        <v>0</v>
      </c>
      <c r="S149" s="24" t="n">
        <f aca="false">IF(P149+Q149&gt;0,SUMIFS(SELIC!$B$4:$B$96,SELIC!$A$4:$A$96,"&gt;="&amp;DATE(YEAR(B149),MONTH(B149)+1,1),SELIC!$A$4:$A$96,"&lt;="&amp;DATE(YEAR(00_PARAMETROS!$B$4),MONTH(00_PARAMETROS!$B$4)-1,1))+00_PARAMETROS!$B$11,0)</f>
        <v>0</v>
      </c>
      <c r="T149" s="24" t="n">
        <f aca="false">IF(P149+Q149&gt;0,MIN(00_PARAMETROS!$B$9,00_PARAMETROS!$B$8*MAX(0,00_PARAMETROS!$B$4-B149)),0)</f>
        <v>0</v>
      </c>
      <c r="U149" s="11" t="n">
        <f aca="false">ROUND(P149*(1+S149+T149),2)</f>
        <v>0</v>
      </c>
      <c r="V149" s="11" t="n">
        <f aca="false">ROUND(Q149*(1+S149+T149),2)</f>
        <v>0</v>
      </c>
      <c r="W149" s="11" t="n">
        <f aca="false">ROUND(R149*(1+S149+T149),2)</f>
        <v>0</v>
      </c>
      <c r="X149" s="10"/>
    </row>
    <row r="150" customFormat="false" ht="32.8" hidden="false" customHeight="false" outlineLevel="0" collapsed="false">
      <c r="A150" s="10" t="n">
        <v>146</v>
      </c>
      <c r="B150" s="19" t="n">
        <v>45972</v>
      </c>
      <c r="C150" s="21" t="n">
        <f aca="false">YEAR(B150)</f>
        <v>2025</v>
      </c>
      <c r="D150" s="10" t="s">
        <v>314</v>
      </c>
      <c r="E150" s="10" t="s">
        <v>141</v>
      </c>
      <c r="F150" s="11" t="n">
        <v>15000</v>
      </c>
      <c r="G150" s="10" t="s">
        <v>175</v>
      </c>
      <c r="H150" s="10" t="s">
        <v>187</v>
      </c>
      <c r="I150" s="10" t="s">
        <v>315</v>
      </c>
      <c r="J150" s="25" t="s">
        <v>190</v>
      </c>
      <c r="K150" s="22" t="s">
        <v>191</v>
      </c>
      <c r="L150" s="10" t="str">
        <f aca="false">IF(AND(G150="entrada",F150&gt;=00_PARAMETROS!$B$7),"SIM","NÃO")</f>
        <v>SIM</v>
      </c>
      <c r="M150" s="23"/>
      <c r="N150" s="24" t="n">
        <f aca="false">IFERROR(INDEX(00_PARAMETROS!$B$41:$B$54,MATCH(K150,00_PARAMETROS!$A$41:$A$54,0)),0)</f>
        <v>0</v>
      </c>
      <c r="O150" s="11" t="n">
        <f aca="false">IF(OR(G150&lt;&gt;"entrada",N150=0),0,IF(K150="VENDA_BEM_BR_GCAP",N(M150),F150))</f>
        <v>0</v>
      </c>
      <c r="P150" s="11" t="n">
        <f aca="false">ROUND(O150*N150,2)</f>
        <v>0</v>
      </c>
      <c r="Q150" s="11" t="n">
        <f aca="false">IF(AND(G150="entrada",K150="PENDENTE"),ROUND(F150*00_PARAMETROS!$B$12,2),0)</f>
        <v>2250</v>
      </c>
      <c r="R150" s="11" t="n">
        <f aca="false">IF(AND(G150="entrada",K150="PENDENTE"),ROUND(F150*00_PARAMETROS!$B$13,2),0)</f>
        <v>3750</v>
      </c>
      <c r="S150" s="24" t="n">
        <f aca="false">IF(P150+Q150&gt;0,SUMIFS(SELIC!$B$4:$B$96,SELIC!$A$4:$A$96,"&gt;="&amp;DATE(YEAR(B150),MONTH(B150)+1,1),SELIC!$A$4:$A$96,"&lt;="&amp;DATE(YEAR(00_PARAMETROS!$B$4),MONTH(00_PARAMETROS!$B$4)-1,1))+00_PARAMETROS!$B$11,0)</f>
        <v>0.1118</v>
      </c>
      <c r="T150" s="24" t="n">
        <f aca="false">IF(P150+Q150&gt;0,MIN(00_PARAMETROS!$B$9,00_PARAMETROS!$B$8*MAX(0,00_PARAMETROS!$B$4-B150)),0)</f>
        <v>0.2</v>
      </c>
      <c r="U150" s="11" t="n">
        <f aca="false">ROUND(P150*(1+S150+T150),2)</f>
        <v>0</v>
      </c>
      <c r="V150" s="11" t="n">
        <f aca="false">ROUND(Q150*(1+S150+T150),2)</f>
        <v>2951.55</v>
      </c>
      <c r="W150" s="11" t="n">
        <f aca="false">ROUND(R150*(1+S150+T150),2)</f>
        <v>4919.25</v>
      </c>
      <c r="X150" s="10"/>
    </row>
    <row r="151" customFormat="false" ht="22.35" hidden="false" customHeight="false" outlineLevel="0" collapsed="false">
      <c r="A151" s="10" t="n">
        <v>147</v>
      </c>
      <c r="B151" s="19" t="n">
        <v>45972</v>
      </c>
      <c r="C151" s="21" t="n">
        <f aca="false">YEAR(B151)</f>
        <v>2025</v>
      </c>
      <c r="D151" s="10" t="s">
        <v>316</v>
      </c>
      <c r="E151" s="10" t="s">
        <v>317</v>
      </c>
      <c r="F151" s="11" t="n">
        <v>-1000</v>
      </c>
      <c r="G151" s="10" t="s">
        <v>181</v>
      </c>
      <c r="H151" s="10" t="s">
        <v>187</v>
      </c>
      <c r="I151" s="10" t="s">
        <v>315</v>
      </c>
      <c r="J151" s="10" t="s">
        <v>188</v>
      </c>
      <c r="K151" s="22" t="s">
        <v>184</v>
      </c>
      <c r="L151" s="10" t="str">
        <f aca="false">IF(AND(G151="entrada",F151&gt;=00_PARAMETROS!$B$7),"SIM","NÃO")</f>
        <v>NÃO</v>
      </c>
      <c r="M151" s="23"/>
      <c r="N151" s="24" t="n">
        <f aca="false">IFERROR(INDEX(00_PARAMETROS!$B$41:$B$54,MATCH(K151,00_PARAMETROS!$A$41:$A$54,0)),0)</f>
        <v>0</v>
      </c>
      <c r="O151" s="11" t="n">
        <f aca="false">IF(OR(G151&lt;&gt;"entrada",N151=0),0,IF(K151="VENDA_BEM_BR_GCAP",N(M151),F151))</f>
        <v>0</v>
      </c>
      <c r="P151" s="11" t="n">
        <f aca="false">ROUND(O151*N151,2)</f>
        <v>0</v>
      </c>
      <c r="Q151" s="11" t="n">
        <f aca="false">IF(AND(G151="entrada",K151="PENDENTE"),ROUND(F151*00_PARAMETROS!$B$12,2),0)</f>
        <v>0</v>
      </c>
      <c r="R151" s="11" t="n">
        <f aca="false">IF(AND(G151="entrada",K151="PENDENTE"),ROUND(F151*00_PARAMETROS!$B$13,2),0)</f>
        <v>0</v>
      </c>
      <c r="S151" s="24" t="n">
        <f aca="false">IF(P151+Q151&gt;0,SUMIFS(SELIC!$B$4:$B$96,SELIC!$A$4:$A$96,"&gt;="&amp;DATE(YEAR(B151),MONTH(B151)+1,1),SELIC!$A$4:$A$96,"&lt;="&amp;DATE(YEAR(00_PARAMETROS!$B$4),MONTH(00_PARAMETROS!$B$4)-1,1))+00_PARAMETROS!$B$11,0)</f>
        <v>0</v>
      </c>
      <c r="T151" s="24" t="n">
        <f aca="false">IF(P151+Q151&gt;0,MIN(00_PARAMETROS!$B$9,00_PARAMETROS!$B$8*MAX(0,00_PARAMETROS!$B$4-B151)),0)</f>
        <v>0</v>
      </c>
      <c r="U151" s="11" t="n">
        <f aca="false">ROUND(P151*(1+S151+T151),2)</f>
        <v>0</v>
      </c>
      <c r="V151" s="11" t="n">
        <f aca="false">ROUND(Q151*(1+S151+T151),2)</f>
        <v>0</v>
      </c>
      <c r="W151" s="11" t="n">
        <f aca="false">ROUND(R151*(1+S151+T151),2)</f>
        <v>0</v>
      </c>
      <c r="X151" s="10"/>
    </row>
    <row r="152" customFormat="false" ht="15" hidden="false" customHeight="false" outlineLevel="0" collapsed="false">
      <c r="A152" s="10" t="n">
        <v>148</v>
      </c>
      <c r="B152" s="19" t="n">
        <v>45972</v>
      </c>
      <c r="C152" s="21" t="n">
        <f aca="false">YEAR(B152)</f>
        <v>2025</v>
      </c>
      <c r="D152" s="10" t="s">
        <v>180</v>
      </c>
      <c r="E152" s="10" t="s">
        <v>180</v>
      </c>
      <c r="F152" s="11" t="n">
        <v>-14000</v>
      </c>
      <c r="G152" s="10" t="s">
        <v>181</v>
      </c>
      <c r="H152" s="10" t="s">
        <v>182</v>
      </c>
      <c r="I152" s="10" t="s">
        <v>315</v>
      </c>
      <c r="J152" s="10" t="s">
        <v>183</v>
      </c>
      <c r="K152" s="22" t="s">
        <v>184</v>
      </c>
      <c r="L152" s="10" t="str">
        <f aca="false">IF(AND(G152="entrada",F152&gt;=00_PARAMETROS!$B$7),"SIM","NÃO")</f>
        <v>NÃO</v>
      </c>
      <c r="M152" s="23"/>
      <c r="N152" s="24" t="n">
        <f aca="false">IFERROR(INDEX(00_PARAMETROS!$B$41:$B$54,MATCH(K152,00_PARAMETROS!$A$41:$A$54,0)),0)</f>
        <v>0</v>
      </c>
      <c r="O152" s="11" t="n">
        <f aca="false">IF(OR(G152&lt;&gt;"entrada",N152=0),0,IF(K152="VENDA_BEM_BR_GCAP",N(M152),F152))</f>
        <v>0</v>
      </c>
      <c r="P152" s="11" t="n">
        <f aca="false">ROUND(O152*N152,2)</f>
        <v>0</v>
      </c>
      <c r="Q152" s="11" t="n">
        <f aca="false">IF(AND(G152="entrada",K152="PENDENTE"),ROUND(F152*00_PARAMETROS!$B$12,2),0)</f>
        <v>0</v>
      </c>
      <c r="R152" s="11" t="n">
        <f aca="false">IF(AND(G152="entrada",K152="PENDENTE"),ROUND(F152*00_PARAMETROS!$B$13,2),0)</f>
        <v>0</v>
      </c>
      <c r="S152" s="24" t="n">
        <f aca="false">IF(P152+Q152&gt;0,SUMIFS(SELIC!$B$4:$B$96,SELIC!$A$4:$A$96,"&gt;="&amp;DATE(YEAR(B152),MONTH(B152)+1,1),SELIC!$A$4:$A$96,"&lt;="&amp;DATE(YEAR(00_PARAMETROS!$B$4),MONTH(00_PARAMETROS!$B$4)-1,1))+00_PARAMETROS!$B$11,0)</f>
        <v>0</v>
      </c>
      <c r="T152" s="24" t="n">
        <f aca="false">IF(P152+Q152&gt;0,MIN(00_PARAMETROS!$B$9,00_PARAMETROS!$B$8*MAX(0,00_PARAMETROS!$B$4-B152)),0)</f>
        <v>0</v>
      </c>
      <c r="U152" s="11" t="n">
        <f aca="false">ROUND(P152*(1+S152+T152),2)</f>
        <v>0</v>
      </c>
      <c r="V152" s="11" t="n">
        <f aca="false">ROUND(Q152*(1+S152+T152),2)</f>
        <v>0</v>
      </c>
      <c r="W152" s="11" t="n">
        <f aca="false">ROUND(R152*(1+S152+T152),2)</f>
        <v>0</v>
      </c>
      <c r="X152" s="10"/>
    </row>
    <row r="153" customFormat="false" ht="43.25" hidden="false" customHeight="false" outlineLevel="0" collapsed="false">
      <c r="A153" s="10" t="n">
        <v>149</v>
      </c>
      <c r="B153" s="19" t="n">
        <v>45981</v>
      </c>
      <c r="C153" s="21" t="n">
        <f aca="false">YEAR(B153)</f>
        <v>2025</v>
      </c>
      <c r="D153" s="10" t="s">
        <v>318</v>
      </c>
      <c r="E153" s="10" t="s">
        <v>306</v>
      </c>
      <c r="F153" s="11" t="n">
        <v>1600</v>
      </c>
      <c r="G153" s="10" t="s">
        <v>175</v>
      </c>
      <c r="H153" s="10" t="s">
        <v>176</v>
      </c>
      <c r="I153" s="10" t="s">
        <v>315</v>
      </c>
      <c r="J153" s="10" t="s">
        <v>178</v>
      </c>
      <c r="K153" s="22" t="s">
        <v>179</v>
      </c>
      <c r="L153" s="10" t="str">
        <f aca="false">IF(AND(G153="entrada",F153&gt;=00_PARAMETROS!$B$7),"SIM","NÃO")</f>
        <v>NÃO</v>
      </c>
      <c r="M153" s="23"/>
      <c r="N153" s="24" t="n">
        <f aca="false">IFERROR(INDEX(00_PARAMETROS!$B$41:$B$54,MATCH(K153,00_PARAMETROS!$A$41:$A$54,0)),0)</f>
        <v>0</v>
      </c>
      <c r="O153" s="11" t="n">
        <f aca="false">IF(OR(G153&lt;&gt;"entrada",N153=0),0,IF(K153="VENDA_BEM_BR_GCAP",N(M153),F153))</f>
        <v>0</v>
      </c>
      <c r="P153" s="11" t="n">
        <f aca="false">ROUND(O153*N153,2)</f>
        <v>0</v>
      </c>
      <c r="Q153" s="11" t="n">
        <f aca="false">IF(AND(G153="entrada",K153="PENDENTE"),ROUND(F153*00_PARAMETROS!$B$12,2),0)</f>
        <v>0</v>
      </c>
      <c r="R153" s="11" t="n">
        <f aca="false">IF(AND(G153="entrada",K153="PENDENTE"),ROUND(F153*00_PARAMETROS!$B$13,2),0)</f>
        <v>0</v>
      </c>
      <c r="S153" s="24" t="n">
        <f aca="false">IF(P153+Q153&gt;0,SUMIFS(SELIC!$B$4:$B$96,SELIC!$A$4:$A$96,"&gt;="&amp;DATE(YEAR(B153),MONTH(B153)+1,1),SELIC!$A$4:$A$96,"&lt;="&amp;DATE(YEAR(00_PARAMETROS!$B$4),MONTH(00_PARAMETROS!$B$4)-1,1))+00_PARAMETROS!$B$11,0)</f>
        <v>0</v>
      </c>
      <c r="T153" s="24" t="n">
        <f aca="false">IF(P153+Q153&gt;0,MIN(00_PARAMETROS!$B$9,00_PARAMETROS!$B$8*MAX(0,00_PARAMETROS!$B$4-B153)),0)</f>
        <v>0</v>
      </c>
      <c r="U153" s="11" t="n">
        <f aca="false">ROUND(P153*(1+S153+T153),2)</f>
        <v>0</v>
      </c>
      <c r="V153" s="11" t="n">
        <f aca="false">ROUND(Q153*(1+S153+T153),2)</f>
        <v>0</v>
      </c>
      <c r="W153" s="11" t="n">
        <f aca="false">ROUND(R153*(1+S153+T153),2)</f>
        <v>0</v>
      </c>
      <c r="X153" s="10"/>
    </row>
    <row r="154" customFormat="false" ht="22.35" hidden="false" customHeight="false" outlineLevel="0" collapsed="false">
      <c r="A154" s="10" t="n">
        <v>150</v>
      </c>
      <c r="B154" s="19" t="n">
        <v>45983</v>
      </c>
      <c r="C154" s="21" t="n">
        <f aca="false">YEAR(B154)</f>
        <v>2025</v>
      </c>
      <c r="D154" s="10" t="s">
        <v>256</v>
      </c>
      <c r="E154" s="10" t="s">
        <v>256</v>
      </c>
      <c r="F154" s="11" t="n">
        <v>700</v>
      </c>
      <c r="G154" s="10" t="s">
        <v>175</v>
      </c>
      <c r="H154" s="10" t="s">
        <v>182</v>
      </c>
      <c r="I154" s="10" t="s">
        <v>315</v>
      </c>
      <c r="J154" s="10" t="s">
        <v>258</v>
      </c>
      <c r="K154" s="22" t="s">
        <v>259</v>
      </c>
      <c r="L154" s="10" t="str">
        <f aca="false">IF(AND(G154="entrada",F154&gt;=00_PARAMETROS!$B$7),"SIM","NÃO")</f>
        <v>NÃO</v>
      </c>
      <c r="M154" s="23"/>
      <c r="N154" s="24" t="n">
        <f aca="false">IFERROR(INDEX(00_PARAMETROS!$B$41:$B$54,MATCH(K154,00_PARAMETROS!$A$41:$A$54,0)),0)</f>
        <v>0</v>
      </c>
      <c r="O154" s="11" t="n">
        <f aca="false">IF(OR(G154&lt;&gt;"entrada",N154=0),0,IF(K154="VENDA_BEM_BR_GCAP",N(M154),F154))</f>
        <v>0</v>
      </c>
      <c r="P154" s="11" t="n">
        <f aca="false">ROUND(O154*N154,2)</f>
        <v>0</v>
      </c>
      <c r="Q154" s="11" t="n">
        <f aca="false">IF(AND(G154="entrada",K154="PENDENTE"),ROUND(F154*00_PARAMETROS!$B$12,2),0)</f>
        <v>0</v>
      </c>
      <c r="R154" s="11" t="n">
        <f aca="false">IF(AND(G154="entrada",K154="PENDENTE"),ROUND(F154*00_PARAMETROS!$B$13,2),0)</f>
        <v>0</v>
      </c>
      <c r="S154" s="24" t="n">
        <f aca="false">IF(P154+Q154&gt;0,SUMIFS(SELIC!$B$4:$B$96,SELIC!$A$4:$A$96,"&gt;="&amp;DATE(YEAR(B154),MONTH(B154)+1,1),SELIC!$A$4:$A$96,"&lt;="&amp;DATE(YEAR(00_PARAMETROS!$B$4),MONTH(00_PARAMETROS!$B$4)-1,1))+00_PARAMETROS!$B$11,0)</f>
        <v>0</v>
      </c>
      <c r="T154" s="24" t="n">
        <f aca="false">IF(P154+Q154&gt;0,MIN(00_PARAMETROS!$B$9,00_PARAMETROS!$B$8*MAX(0,00_PARAMETROS!$B$4-B154)),0)</f>
        <v>0</v>
      </c>
      <c r="U154" s="11" t="n">
        <f aca="false">ROUND(P154*(1+S154+T154),2)</f>
        <v>0</v>
      </c>
      <c r="V154" s="11" t="n">
        <f aca="false">ROUND(Q154*(1+S154+T154),2)</f>
        <v>0</v>
      </c>
      <c r="W154" s="11" t="n">
        <f aca="false">ROUND(R154*(1+S154+T154),2)</f>
        <v>0</v>
      </c>
      <c r="X154" s="10"/>
    </row>
    <row r="155" customFormat="false" ht="32.8" hidden="false" customHeight="false" outlineLevel="0" collapsed="false">
      <c r="A155" s="10" t="n">
        <v>151</v>
      </c>
      <c r="B155" s="19" t="n">
        <v>46007</v>
      </c>
      <c r="C155" s="21" t="n">
        <f aca="false">YEAR(B155)</f>
        <v>2025</v>
      </c>
      <c r="D155" s="10" t="s">
        <v>319</v>
      </c>
      <c r="E155" s="10" t="s">
        <v>144</v>
      </c>
      <c r="F155" s="11" t="n">
        <v>1500</v>
      </c>
      <c r="G155" s="10" t="s">
        <v>175</v>
      </c>
      <c r="H155" s="10" t="s">
        <v>187</v>
      </c>
      <c r="I155" s="10" t="s">
        <v>320</v>
      </c>
      <c r="J155" s="25" t="s">
        <v>190</v>
      </c>
      <c r="K155" s="22" t="s">
        <v>191</v>
      </c>
      <c r="L155" s="10" t="str">
        <f aca="false">IF(AND(G155="entrada",F155&gt;=00_PARAMETROS!$B$7),"SIM","NÃO")</f>
        <v>NÃO</v>
      </c>
      <c r="M155" s="23"/>
      <c r="N155" s="24" t="n">
        <f aca="false">IFERROR(INDEX(00_PARAMETROS!$B$41:$B$54,MATCH(K155,00_PARAMETROS!$A$41:$A$54,0)),0)</f>
        <v>0</v>
      </c>
      <c r="O155" s="11" t="n">
        <f aca="false">IF(OR(G155&lt;&gt;"entrada",N155=0),0,IF(K155="VENDA_BEM_BR_GCAP",N(M155),F155))</f>
        <v>0</v>
      </c>
      <c r="P155" s="11" t="n">
        <f aca="false">ROUND(O155*N155,2)</f>
        <v>0</v>
      </c>
      <c r="Q155" s="11" t="n">
        <f aca="false">IF(AND(G155="entrada",K155="PENDENTE"),ROUND(F155*00_PARAMETROS!$B$12,2),0)</f>
        <v>225</v>
      </c>
      <c r="R155" s="11" t="n">
        <f aca="false">IF(AND(G155="entrada",K155="PENDENTE"),ROUND(F155*00_PARAMETROS!$B$13,2),0)</f>
        <v>375</v>
      </c>
      <c r="S155" s="24" t="n">
        <f aca="false">IF(P155+Q155&gt;0,SUMIFS(SELIC!$B$4:$B$96,SELIC!$A$4:$A$96,"&gt;="&amp;DATE(YEAR(B155),MONTH(B155)+1,1),SELIC!$A$4:$A$96,"&lt;="&amp;DATE(YEAR(00_PARAMETROS!$B$4),MONTH(00_PARAMETROS!$B$4)-1,1))+00_PARAMETROS!$B$11,0)</f>
        <v>0.0996</v>
      </c>
      <c r="T155" s="24" t="n">
        <f aca="false">IF(P155+Q155&gt;0,MIN(00_PARAMETROS!$B$9,00_PARAMETROS!$B$8*MAX(0,00_PARAMETROS!$B$4-B155)),0)</f>
        <v>0.2</v>
      </c>
      <c r="U155" s="11" t="n">
        <f aca="false">ROUND(P155*(1+S155+T155),2)</f>
        <v>0</v>
      </c>
      <c r="V155" s="11" t="n">
        <f aca="false">ROUND(Q155*(1+S155+T155),2)</f>
        <v>292.41</v>
      </c>
      <c r="W155" s="11" t="n">
        <f aca="false">ROUND(R155*(1+S155+T155),2)</f>
        <v>487.35</v>
      </c>
      <c r="X155" s="10"/>
    </row>
    <row r="156" customFormat="false" ht="22.35" hidden="false" customHeight="false" outlineLevel="0" collapsed="false">
      <c r="A156" s="10" t="n">
        <v>152</v>
      </c>
      <c r="B156" s="19" t="n">
        <v>46008</v>
      </c>
      <c r="C156" s="21" t="n">
        <f aca="false">YEAR(B156)</f>
        <v>2025</v>
      </c>
      <c r="D156" s="10" t="s">
        <v>321</v>
      </c>
      <c r="E156" s="10" t="s">
        <v>322</v>
      </c>
      <c r="F156" s="11" t="n">
        <v>-10</v>
      </c>
      <c r="G156" s="10" t="s">
        <v>181</v>
      </c>
      <c r="H156" s="10" t="s">
        <v>187</v>
      </c>
      <c r="I156" s="10" t="s">
        <v>320</v>
      </c>
      <c r="J156" s="10" t="s">
        <v>188</v>
      </c>
      <c r="K156" s="22" t="s">
        <v>184</v>
      </c>
      <c r="L156" s="10" t="str">
        <f aca="false">IF(AND(G156="entrada",F156&gt;=00_PARAMETROS!$B$7),"SIM","NÃO")</f>
        <v>NÃO</v>
      </c>
      <c r="M156" s="23"/>
      <c r="N156" s="24" t="n">
        <f aca="false">IFERROR(INDEX(00_PARAMETROS!$B$41:$B$54,MATCH(K156,00_PARAMETROS!$A$41:$A$54,0)),0)</f>
        <v>0</v>
      </c>
      <c r="O156" s="11" t="n">
        <f aca="false">IF(OR(G156&lt;&gt;"entrada",N156=0),0,IF(K156="VENDA_BEM_BR_GCAP",N(M156),F156))</f>
        <v>0</v>
      </c>
      <c r="P156" s="11" t="n">
        <f aca="false">ROUND(O156*N156,2)</f>
        <v>0</v>
      </c>
      <c r="Q156" s="11" t="n">
        <f aca="false">IF(AND(G156="entrada",K156="PENDENTE"),ROUND(F156*00_PARAMETROS!$B$12,2),0)</f>
        <v>0</v>
      </c>
      <c r="R156" s="11" t="n">
        <f aca="false">IF(AND(G156="entrada",K156="PENDENTE"),ROUND(F156*00_PARAMETROS!$B$13,2),0)</f>
        <v>0</v>
      </c>
      <c r="S156" s="24" t="n">
        <f aca="false">IF(P156+Q156&gt;0,SUMIFS(SELIC!$B$4:$B$96,SELIC!$A$4:$A$96,"&gt;="&amp;DATE(YEAR(B156),MONTH(B156)+1,1),SELIC!$A$4:$A$96,"&lt;="&amp;DATE(YEAR(00_PARAMETROS!$B$4),MONTH(00_PARAMETROS!$B$4)-1,1))+00_PARAMETROS!$B$11,0)</f>
        <v>0</v>
      </c>
      <c r="T156" s="24" t="n">
        <f aca="false">IF(P156+Q156&gt;0,MIN(00_PARAMETROS!$B$9,00_PARAMETROS!$B$8*MAX(0,00_PARAMETROS!$B$4-B156)),0)</f>
        <v>0</v>
      </c>
      <c r="U156" s="11" t="n">
        <f aca="false">ROUND(P156*(1+S156+T156),2)</f>
        <v>0</v>
      </c>
      <c r="V156" s="11" t="n">
        <f aca="false">ROUND(Q156*(1+S156+T156),2)</f>
        <v>0</v>
      </c>
      <c r="W156" s="11" t="n">
        <f aca="false">ROUND(R156*(1+S156+T156),2)</f>
        <v>0</v>
      </c>
      <c r="X156" s="10"/>
    </row>
    <row r="157" customFormat="false" ht="32.8" hidden="false" customHeight="false" outlineLevel="0" collapsed="false">
      <c r="A157" s="10" t="n">
        <v>153</v>
      </c>
      <c r="B157" s="19" t="n">
        <v>46011</v>
      </c>
      <c r="C157" s="21" t="n">
        <f aca="false">YEAR(B157)</f>
        <v>2025</v>
      </c>
      <c r="D157" s="10" t="s">
        <v>305</v>
      </c>
      <c r="E157" s="10" t="s">
        <v>306</v>
      </c>
      <c r="F157" s="11" t="n">
        <v>1600</v>
      </c>
      <c r="G157" s="10" t="s">
        <v>175</v>
      </c>
      <c r="H157" s="10" t="s">
        <v>176</v>
      </c>
      <c r="I157" s="10" t="s">
        <v>320</v>
      </c>
      <c r="J157" s="10" t="s">
        <v>178</v>
      </c>
      <c r="K157" s="22" t="s">
        <v>179</v>
      </c>
      <c r="L157" s="10" t="str">
        <f aca="false">IF(AND(G157="entrada",F157&gt;=00_PARAMETROS!$B$7),"SIM","NÃO")</f>
        <v>NÃO</v>
      </c>
      <c r="M157" s="23"/>
      <c r="N157" s="24" t="n">
        <f aca="false">IFERROR(INDEX(00_PARAMETROS!$B$41:$B$54,MATCH(K157,00_PARAMETROS!$A$41:$A$54,0)),0)</f>
        <v>0</v>
      </c>
      <c r="O157" s="11" t="n">
        <f aca="false">IF(OR(G157&lt;&gt;"entrada",N157=0),0,IF(K157="VENDA_BEM_BR_GCAP",N(M157),F157))</f>
        <v>0</v>
      </c>
      <c r="P157" s="11" t="n">
        <f aca="false">ROUND(O157*N157,2)</f>
        <v>0</v>
      </c>
      <c r="Q157" s="11" t="n">
        <f aca="false">IF(AND(G157="entrada",K157="PENDENTE"),ROUND(F157*00_PARAMETROS!$B$12,2),0)</f>
        <v>0</v>
      </c>
      <c r="R157" s="11" t="n">
        <f aca="false">IF(AND(G157="entrada",K157="PENDENTE"),ROUND(F157*00_PARAMETROS!$B$13,2),0)</f>
        <v>0</v>
      </c>
      <c r="S157" s="24" t="n">
        <f aca="false">IF(P157+Q157&gt;0,SUMIFS(SELIC!$B$4:$B$96,SELIC!$A$4:$A$96,"&gt;="&amp;DATE(YEAR(B157),MONTH(B157)+1,1),SELIC!$A$4:$A$96,"&lt;="&amp;DATE(YEAR(00_PARAMETROS!$B$4),MONTH(00_PARAMETROS!$B$4)-1,1))+00_PARAMETROS!$B$11,0)</f>
        <v>0</v>
      </c>
      <c r="T157" s="24" t="n">
        <f aca="false">IF(P157+Q157&gt;0,MIN(00_PARAMETROS!$B$9,00_PARAMETROS!$B$8*MAX(0,00_PARAMETROS!$B$4-B157)),0)</f>
        <v>0</v>
      </c>
      <c r="U157" s="11" t="n">
        <f aca="false">ROUND(P157*(1+S157+T157),2)</f>
        <v>0</v>
      </c>
      <c r="V157" s="11" t="n">
        <f aca="false">ROUND(Q157*(1+S157+T157),2)</f>
        <v>0</v>
      </c>
      <c r="W157" s="11" t="n">
        <f aca="false">ROUND(R157*(1+S157+T157),2)</f>
        <v>0</v>
      </c>
      <c r="X157" s="10"/>
    </row>
    <row r="158" customFormat="false" ht="32.8" hidden="false" customHeight="false" outlineLevel="0" collapsed="false">
      <c r="A158" s="10" t="n">
        <v>154</v>
      </c>
      <c r="B158" s="19" t="n">
        <v>46041</v>
      </c>
      <c r="C158" s="21" t="n">
        <f aca="false">YEAR(B158)</f>
        <v>2026</v>
      </c>
      <c r="D158" s="10" t="s">
        <v>299</v>
      </c>
      <c r="E158" s="10" t="s">
        <v>300</v>
      </c>
      <c r="F158" s="11" t="n">
        <v>1600.01</v>
      </c>
      <c r="G158" s="10" t="s">
        <v>175</v>
      </c>
      <c r="H158" s="10" t="s">
        <v>176</v>
      </c>
      <c r="I158" s="10" t="s">
        <v>323</v>
      </c>
      <c r="J158" s="10" t="s">
        <v>178</v>
      </c>
      <c r="K158" s="22" t="s">
        <v>179</v>
      </c>
      <c r="L158" s="10" t="str">
        <f aca="false">IF(AND(G158="entrada",F158&gt;=00_PARAMETROS!$B$7),"SIM","NÃO")</f>
        <v>NÃO</v>
      </c>
      <c r="M158" s="23"/>
      <c r="N158" s="24" t="n">
        <f aca="false">IFERROR(INDEX(00_PARAMETROS!$B$41:$B$54,MATCH(K158,00_PARAMETROS!$A$41:$A$54,0)),0)</f>
        <v>0</v>
      </c>
      <c r="O158" s="11" t="n">
        <f aca="false">IF(OR(G158&lt;&gt;"entrada",N158=0),0,IF(K158="VENDA_BEM_BR_GCAP",N(M158),F158))</f>
        <v>0</v>
      </c>
      <c r="P158" s="11" t="n">
        <f aca="false">ROUND(O158*N158,2)</f>
        <v>0</v>
      </c>
      <c r="Q158" s="11" t="n">
        <f aca="false">IF(AND(G158="entrada",K158="PENDENTE"),ROUND(F158*00_PARAMETROS!$B$12,2),0)</f>
        <v>0</v>
      </c>
      <c r="R158" s="11" t="n">
        <f aca="false">IF(AND(G158="entrada",K158="PENDENTE"),ROUND(F158*00_PARAMETROS!$B$13,2),0)</f>
        <v>0</v>
      </c>
      <c r="S158" s="24" t="n">
        <f aca="false">IF(P158+Q158&gt;0,SUMIFS(SELIC!$B$4:$B$96,SELIC!$A$4:$A$96,"&gt;="&amp;DATE(YEAR(B158),MONTH(B158)+1,1),SELIC!$A$4:$A$96,"&lt;="&amp;DATE(YEAR(00_PARAMETROS!$B$4),MONTH(00_PARAMETROS!$B$4)-1,1))+00_PARAMETROS!$B$11,0)</f>
        <v>0</v>
      </c>
      <c r="T158" s="24" t="n">
        <f aca="false">IF(P158+Q158&gt;0,MIN(00_PARAMETROS!$B$9,00_PARAMETROS!$B$8*MAX(0,00_PARAMETROS!$B$4-B158)),0)</f>
        <v>0</v>
      </c>
      <c r="U158" s="11" t="n">
        <f aca="false">ROUND(P158*(1+S158+T158),2)</f>
        <v>0</v>
      </c>
      <c r="V158" s="11" t="n">
        <f aca="false">ROUND(Q158*(1+S158+T158),2)</f>
        <v>0</v>
      </c>
      <c r="W158" s="11" t="n">
        <f aca="false">ROUND(R158*(1+S158+T158),2)</f>
        <v>0</v>
      </c>
      <c r="X158" s="10"/>
    </row>
    <row r="159" customFormat="false" ht="32.8" hidden="false" customHeight="false" outlineLevel="0" collapsed="false">
      <c r="A159" s="10" t="n">
        <v>155</v>
      </c>
      <c r="B159" s="19" t="n">
        <v>46073</v>
      </c>
      <c r="C159" s="21" t="n">
        <f aca="false">YEAR(B159)</f>
        <v>2026</v>
      </c>
      <c r="D159" s="10" t="s">
        <v>305</v>
      </c>
      <c r="E159" s="10" t="s">
        <v>306</v>
      </c>
      <c r="F159" s="11" t="n">
        <v>3200.03</v>
      </c>
      <c r="G159" s="10" t="s">
        <v>175</v>
      </c>
      <c r="H159" s="10" t="s">
        <v>176</v>
      </c>
      <c r="I159" s="10" t="s">
        <v>324</v>
      </c>
      <c r="J159" s="10" t="s">
        <v>178</v>
      </c>
      <c r="K159" s="22" t="s">
        <v>179</v>
      </c>
      <c r="L159" s="10" t="str">
        <f aca="false">IF(AND(G159="entrada",F159&gt;=00_PARAMETROS!$B$7),"SIM","NÃO")</f>
        <v>NÃO</v>
      </c>
      <c r="M159" s="23"/>
      <c r="N159" s="24" t="n">
        <f aca="false">IFERROR(INDEX(00_PARAMETROS!$B$41:$B$54,MATCH(K159,00_PARAMETROS!$A$41:$A$54,0)),0)</f>
        <v>0</v>
      </c>
      <c r="O159" s="11" t="n">
        <f aca="false">IF(OR(G159&lt;&gt;"entrada",N159=0),0,IF(K159="VENDA_BEM_BR_GCAP",N(M159),F159))</f>
        <v>0</v>
      </c>
      <c r="P159" s="11" t="n">
        <f aca="false">ROUND(O159*N159,2)</f>
        <v>0</v>
      </c>
      <c r="Q159" s="11" t="n">
        <f aca="false">IF(AND(G159="entrada",K159="PENDENTE"),ROUND(F159*00_PARAMETROS!$B$12,2),0)</f>
        <v>0</v>
      </c>
      <c r="R159" s="11" t="n">
        <f aca="false">IF(AND(G159="entrada",K159="PENDENTE"),ROUND(F159*00_PARAMETROS!$B$13,2),0)</f>
        <v>0</v>
      </c>
      <c r="S159" s="24" t="n">
        <f aca="false">IF(P159+Q159&gt;0,SUMIFS(SELIC!$B$4:$B$96,SELIC!$A$4:$A$96,"&gt;="&amp;DATE(YEAR(B159),MONTH(B159)+1,1),SELIC!$A$4:$A$96,"&lt;="&amp;DATE(YEAR(00_PARAMETROS!$B$4),MONTH(00_PARAMETROS!$B$4)-1,1))+00_PARAMETROS!$B$11,0)</f>
        <v>0</v>
      </c>
      <c r="T159" s="24" t="n">
        <f aca="false">IF(P159+Q159&gt;0,MIN(00_PARAMETROS!$B$9,00_PARAMETROS!$B$8*MAX(0,00_PARAMETROS!$B$4-B159)),0)</f>
        <v>0</v>
      </c>
      <c r="U159" s="11" t="n">
        <f aca="false">ROUND(P159*(1+S159+T159),2)</f>
        <v>0</v>
      </c>
      <c r="V159" s="11" t="n">
        <f aca="false">ROUND(Q159*(1+S159+T159),2)</f>
        <v>0</v>
      </c>
      <c r="W159" s="11" t="n">
        <f aca="false">ROUND(R159*(1+S159+T159),2)</f>
        <v>0</v>
      </c>
      <c r="X159" s="10"/>
    </row>
    <row r="160" customFormat="false" ht="22.35" hidden="false" customHeight="false" outlineLevel="0" collapsed="false">
      <c r="A160" s="10" t="n">
        <v>156</v>
      </c>
      <c r="B160" s="19" t="n">
        <v>46122</v>
      </c>
      <c r="C160" s="21" t="n">
        <f aca="false">YEAR(B160)</f>
        <v>2026</v>
      </c>
      <c r="D160" s="10" t="s">
        <v>180</v>
      </c>
      <c r="E160" s="10" t="s">
        <v>180</v>
      </c>
      <c r="F160" s="11" t="n">
        <v>-217900</v>
      </c>
      <c r="G160" s="10" t="s">
        <v>181</v>
      </c>
      <c r="H160" s="10" t="s">
        <v>182</v>
      </c>
      <c r="I160" s="10" t="s">
        <v>325</v>
      </c>
      <c r="J160" s="10" t="s">
        <v>183</v>
      </c>
      <c r="K160" s="22" t="s">
        <v>184</v>
      </c>
      <c r="L160" s="10" t="str">
        <f aca="false">IF(AND(G160="entrada",F160&gt;=00_PARAMETROS!$B$7),"SIM","NÃO")</f>
        <v>NÃO</v>
      </c>
      <c r="M160" s="23"/>
      <c r="N160" s="24" t="n">
        <f aca="false">IFERROR(INDEX(00_PARAMETROS!$B$41:$B$54,MATCH(K160,00_PARAMETROS!$A$41:$A$54,0)),0)</f>
        <v>0</v>
      </c>
      <c r="O160" s="11" t="n">
        <f aca="false">IF(OR(G160&lt;&gt;"entrada",N160=0),0,IF(K160="VENDA_BEM_BR_GCAP",N(M160),F160))</f>
        <v>0</v>
      </c>
      <c r="P160" s="11" t="n">
        <f aca="false">ROUND(O160*N160,2)</f>
        <v>0</v>
      </c>
      <c r="Q160" s="11" t="n">
        <f aca="false">IF(AND(G160="entrada",K160="PENDENTE"),ROUND(F160*00_PARAMETROS!$B$12,2),0)</f>
        <v>0</v>
      </c>
      <c r="R160" s="11" t="n">
        <f aca="false">IF(AND(G160="entrada",K160="PENDENTE"),ROUND(F160*00_PARAMETROS!$B$13,2),0)</f>
        <v>0</v>
      </c>
      <c r="S160" s="24" t="n">
        <f aca="false">IF(P160+Q160&gt;0,SUMIFS(SELIC!$B$4:$B$96,SELIC!$A$4:$A$96,"&gt;="&amp;DATE(YEAR(B160),MONTH(B160)+1,1),SELIC!$A$4:$A$96,"&lt;="&amp;DATE(YEAR(00_PARAMETROS!$B$4),MONTH(00_PARAMETROS!$B$4)-1,1))+00_PARAMETROS!$B$11,0)</f>
        <v>0</v>
      </c>
      <c r="T160" s="24" t="n">
        <f aca="false">IF(P160+Q160&gt;0,MIN(00_PARAMETROS!$B$9,00_PARAMETROS!$B$8*MAX(0,00_PARAMETROS!$B$4-B160)),0)</f>
        <v>0</v>
      </c>
      <c r="U160" s="11" t="n">
        <f aca="false">ROUND(P160*(1+S160+T160),2)</f>
        <v>0</v>
      </c>
      <c r="V160" s="11" t="n">
        <f aca="false">ROUND(Q160*(1+S160+T160),2)</f>
        <v>0</v>
      </c>
      <c r="W160" s="11" t="n">
        <f aca="false">ROUND(R160*(1+S160+T160),2)</f>
        <v>0</v>
      </c>
      <c r="X160" s="10"/>
    </row>
    <row r="161" customFormat="false" ht="43.25" hidden="false" customHeight="false" outlineLevel="0" collapsed="false">
      <c r="A161" s="10" t="n">
        <v>157</v>
      </c>
      <c r="B161" s="19" t="n">
        <v>46125</v>
      </c>
      <c r="C161" s="21" t="n">
        <f aca="false">YEAR(B161)</f>
        <v>2026</v>
      </c>
      <c r="D161" s="10" t="s">
        <v>326</v>
      </c>
      <c r="E161" s="10" t="s">
        <v>134</v>
      </c>
      <c r="F161" s="11" t="n">
        <v>8000</v>
      </c>
      <c r="G161" s="10" t="s">
        <v>175</v>
      </c>
      <c r="H161" s="10" t="s">
        <v>187</v>
      </c>
      <c r="I161" s="10" t="s">
        <v>325</v>
      </c>
      <c r="J161" s="25" t="s">
        <v>190</v>
      </c>
      <c r="K161" s="22" t="s">
        <v>191</v>
      </c>
      <c r="L161" s="10" t="str">
        <f aca="false">IF(AND(G161="entrada",F161&gt;=00_PARAMETROS!$B$7),"SIM","NÃO")</f>
        <v>NÃO</v>
      </c>
      <c r="M161" s="23"/>
      <c r="N161" s="24" t="n">
        <f aca="false">IFERROR(INDEX(00_PARAMETROS!$B$41:$B$54,MATCH(K161,00_PARAMETROS!$A$41:$A$54,0)),0)</f>
        <v>0</v>
      </c>
      <c r="O161" s="11" t="n">
        <f aca="false">IF(OR(G161&lt;&gt;"entrada",N161=0),0,IF(K161="VENDA_BEM_BR_GCAP",N(M161),F161))</f>
        <v>0</v>
      </c>
      <c r="P161" s="11" t="n">
        <f aca="false">ROUND(O161*N161,2)</f>
        <v>0</v>
      </c>
      <c r="Q161" s="11" t="n">
        <f aca="false">IF(AND(G161="entrada",K161="PENDENTE"),ROUND(F161*00_PARAMETROS!$B$12,2),0)</f>
        <v>1200</v>
      </c>
      <c r="R161" s="11" t="n">
        <f aca="false">IF(AND(G161="entrada",K161="PENDENTE"),ROUND(F161*00_PARAMETROS!$B$13,2),0)</f>
        <v>2000</v>
      </c>
      <c r="S161" s="24" t="n">
        <f aca="false">IF(P161+Q161&gt;0,SUMIFS(SELIC!$B$4:$B$96,SELIC!$A$4:$A$96,"&gt;="&amp;DATE(YEAR(B161),MONTH(B161)+1,1),SELIC!$A$4:$A$96,"&lt;="&amp;DATE(YEAR(00_PARAMETROS!$B$4),MONTH(00_PARAMETROS!$B$4)-1,1))+00_PARAMETROS!$B$11,0)</f>
        <v>0.055</v>
      </c>
      <c r="T161" s="24" t="n">
        <f aca="false">IF(P161+Q161&gt;0,MIN(00_PARAMETROS!$B$9,00_PARAMETROS!$B$8*MAX(0,00_PARAMETROS!$B$4-B161)),0)</f>
        <v>0.2</v>
      </c>
      <c r="U161" s="11" t="n">
        <f aca="false">ROUND(P161*(1+S161+T161),2)</f>
        <v>0</v>
      </c>
      <c r="V161" s="11" t="n">
        <f aca="false">ROUND(Q161*(1+S161+T161),2)</f>
        <v>1506</v>
      </c>
      <c r="W161" s="11" t="n">
        <f aca="false">ROUND(R161*(1+S161+T161),2)</f>
        <v>2510</v>
      </c>
      <c r="X161" s="10"/>
    </row>
    <row r="162" customFormat="false" ht="22.35" hidden="false" customHeight="false" outlineLevel="0" collapsed="false">
      <c r="A162" s="10" t="n">
        <v>158</v>
      </c>
      <c r="B162" s="19" t="n">
        <v>46126</v>
      </c>
      <c r="C162" s="21" t="n">
        <f aca="false">YEAR(B162)</f>
        <v>2026</v>
      </c>
      <c r="D162" s="10" t="s">
        <v>180</v>
      </c>
      <c r="E162" s="10" t="s">
        <v>180</v>
      </c>
      <c r="F162" s="11" t="n">
        <v>-9000</v>
      </c>
      <c r="G162" s="10" t="s">
        <v>181</v>
      </c>
      <c r="H162" s="10" t="s">
        <v>182</v>
      </c>
      <c r="I162" s="10" t="s">
        <v>325</v>
      </c>
      <c r="J162" s="10" t="s">
        <v>183</v>
      </c>
      <c r="K162" s="22" t="s">
        <v>184</v>
      </c>
      <c r="L162" s="10" t="str">
        <f aca="false">IF(AND(G162="entrada",F162&gt;=00_PARAMETROS!$B$7),"SIM","NÃO")</f>
        <v>NÃO</v>
      </c>
      <c r="M162" s="23"/>
      <c r="N162" s="24" t="n">
        <f aca="false">IFERROR(INDEX(00_PARAMETROS!$B$41:$B$54,MATCH(K162,00_PARAMETROS!$A$41:$A$54,0)),0)</f>
        <v>0</v>
      </c>
      <c r="O162" s="11" t="n">
        <f aca="false">IF(OR(G162&lt;&gt;"entrada",N162=0),0,IF(K162="VENDA_BEM_BR_GCAP",N(M162),F162))</f>
        <v>0</v>
      </c>
      <c r="P162" s="11" t="n">
        <f aca="false">ROUND(O162*N162,2)</f>
        <v>0</v>
      </c>
      <c r="Q162" s="11" t="n">
        <f aca="false">IF(AND(G162="entrada",K162="PENDENTE"),ROUND(F162*00_PARAMETROS!$B$12,2),0)</f>
        <v>0</v>
      </c>
      <c r="R162" s="11" t="n">
        <f aca="false">IF(AND(G162="entrada",K162="PENDENTE"),ROUND(F162*00_PARAMETROS!$B$13,2),0)</f>
        <v>0</v>
      </c>
      <c r="S162" s="24" t="n">
        <f aca="false">IF(P162+Q162&gt;0,SUMIFS(SELIC!$B$4:$B$96,SELIC!$A$4:$A$96,"&gt;="&amp;DATE(YEAR(B162),MONTH(B162)+1,1),SELIC!$A$4:$A$96,"&lt;="&amp;DATE(YEAR(00_PARAMETROS!$B$4),MONTH(00_PARAMETROS!$B$4)-1,1))+00_PARAMETROS!$B$11,0)</f>
        <v>0</v>
      </c>
      <c r="T162" s="24" t="n">
        <f aca="false">IF(P162+Q162&gt;0,MIN(00_PARAMETROS!$B$9,00_PARAMETROS!$B$8*MAX(0,00_PARAMETROS!$B$4-B162)),0)</f>
        <v>0</v>
      </c>
      <c r="U162" s="11" t="n">
        <f aca="false">ROUND(P162*(1+S162+T162),2)</f>
        <v>0</v>
      </c>
      <c r="V162" s="11" t="n">
        <f aca="false">ROUND(Q162*(1+S162+T162),2)</f>
        <v>0</v>
      </c>
      <c r="W162" s="11" t="n">
        <f aca="false">ROUND(R162*(1+S162+T162),2)</f>
        <v>0</v>
      </c>
      <c r="X162" s="10"/>
    </row>
    <row r="163" customFormat="false" ht="32.8" hidden="false" customHeight="false" outlineLevel="0" collapsed="false">
      <c r="A163" s="10" t="n">
        <v>159</v>
      </c>
      <c r="B163" s="19" t="n">
        <v>46130</v>
      </c>
      <c r="C163" s="21" t="n">
        <f aca="false">YEAR(B163)</f>
        <v>2026</v>
      </c>
      <c r="D163" s="10" t="s">
        <v>305</v>
      </c>
      <c r="E163" s="10" t="s">
        <v>306</v>
      </c>
      <c r="F163" s="11" t="n">
        <v>1600.02</v>
      </c>
      <c r="G163" s="10" t="s">
        <v>175</v>
      </c>
      <c r="H163" s="10" t="s">
        <v>176</v>
      </c>
      <c r="I163" s="10" t="s">
        <v>325</v>
      </c>
      <c r="J163" s="10" t="s">
        <v>178</v>
      </c>
      <c r="K163" s="22" t="s">
        <v>179</v>
      </c>
      <c r="L163" s="10" t="str">
        <f aca="false">IF(AND(G163="entrada",F163&gt;=00_PARAMETROS!$B$7),"SIM","NÃO")</f>
        <v>NÃO</v>
      </c>
      <c r="M163" s="23"/>
      <c r="N163" s="24" t="n">
        <f aca="false">IFERROR(INDEX(00_PARAMETROS!$B$41:$B$54,MATCH(K163,00_PARAMETROS!$A$41:$A$54,0)),0)</f>
        <v>0</v>
      </c>
      <c r="O163" s="11" t="n">
        <f aca="false">IF(OR(G163&lt;&gt;"entrada",N163=0),0,IF(K163="VENDA_BEM_BR_GCAP",N(M163),F163))</f>
        <v>0</v>
      </c>
      <c r="P163" s="11" t="n">
        <f aca="false">ROUND(O163*N163,2)</f>
        <v>0</v>
      </c>
      <c r="Q163" s="11" t="n">
        <f aca="false">IF(AND(G163="entrada",K163="PENDENTE"),ROUND(F163*00_PARAMETROS!$B$12,2),0)</f>
        <v>0</v>
      </c>
      <c r="R163" s="11" t="n">
        <f aca="false">IF(AND(G163="entrada",K163="PENDENTE"),ROUND(F163*00_PARAMETROS!$B$13,2),0)</f>
        <v>0</v>
      </c>
      <c r="S163" s="24" t="n">
        <f aca="false">IF(P163+Q163&gt;0,SUMIFS(SELIC!$B$4:$B$96,SELIC!$A$4:$A$96,"&gt;="&amp;DATE(YEAR(B163),MONTH(B163)+1,1),SELIC!$A$4:$A$96,"&lt;="&amp;DATE(YEAR(00_PARAMETROS!$B$4),MONTH(00_PARAMETROS!$B$4)-1,1))+00_PARAMETROS!$B$11,0)</f>
        <v>0</v>
      </c>
      <c r="T163" s="24" t="n">
        <f aca="false">IF(P163+Q163&gt;0,MIN(00_PARAMETROS!$B$9,00_PARAMETROS!$B$8*MAX(0,00_PARAMETROS!$B$4-B163)),0)</f>
        <v>0</v>
      </c>
      <c r="U163" s="11" t="n">
        <f aca="false">ROUND(P163*(1+S163+T163),2)</f>
        <v>0</v>
      </c>
      <c r="V163" s="11" t="n">
        <f aca="false">ROUND(Q163*(1+S163+T163),2)</f>
        <v>0</v>
      </c>
      <c r="W163" s="11" t="n">
        <f aca="false">ROUND(R163*(1+S163+T163),2)</f>
        <v>0</v>
      </c>
      <c r="X163" s="10"/>
    </row>
    <row r="164" customFormat="false" ht="22.35" hidden="false" customHeight="false" outlineLevel="0" collapsed="false">
      <c r="A164" s="10" t="n">
        <v>160</v>
      </c>
      <c r="B164" s="19" t="n">
        <v>46133</v>
      </c>
      <c r="C164" s="21" t="n">
        <f aca="false">YEAR(B164)</f>
        <v>2026</v>
      </c>
      <c r="D164" s="10" t="s">
        <v>180</v>
      </c>
      <c r="E164" s="10" t="s">
        <v>180</v>
      </c>
      <c r="F164" s="11" t="n">
        <v>-2300</v>
      </c>
      <c r="G164" s="10" t="s">
        <v>181</v>
      </c>
      <c r="H164" s="10" t="s">
        <v>182</v>
      </c>
      <c r="I164" s="10" t="s">
        <v>325</v>
      </c>
      <c r="J164" s="10" t="s">
        <v>183</v>
      </c>
      <c r="K164" s="22" t="s">
        <v>184</v>
      </c>
      <c r="L164" s="10" t="str">
        <f aca="false">IF(AND(G164="entrada",F164&gt;=00_PARAMETROS!$B$7),"SIM","NÃO")</f>
        <v>NÃO</v>
      </c>
      <c r="M164" s="23"/>
      <c r="N164" s="24" t="n">
        <f aca="false">IFERROR(INDEX(00_PARAMETROS!$B$41:$B$54,MATCH(K164,00_PARAMETROS!$A$41:$A$54,0)),0)</f>
        <v>0</v>
      </c>
      <c r="O164" s="11" t="n">
        <f aca="false">IF(OR(G164&lt;&gt;"entrada",N164=0),0,IF(K164="VENDA_BEM_BR_GCAP",N(M164),F164))</f>
        <v>0</v>
      </c>
      <c r="P164" s="11" t="n">
        <f aca="false">ROUND(O164*N164,2)</f>
        <v>0</v>
      </c>
      <c r="Q164" s="11" t="n">
        <f aca="false">IF(AND(G164="entrada",K164="PENDENTE"),ROUND(F164*00_PARAMETROS!$B$12,2),0)</f>
        <v>0</v>
      </c>
      <c r="R164" s="11" t="n">
        <f aca="false">IF(AND(G164="entrada",K164="PENDENTE"),ROUND(F164*00_PARAMETROS!$B$13,2),0)</f>
        <v>0</v>
      </c>
      <c r="S164" s="24" t="n">
        <f aca="false">IF(P164+Q164&gt;0,SUMIFS(SELIC!$B$4:$B$96,SELIC!$A$4:$A$96,"&gt;="&amp;DATE(YEAR(B164),MONTH(B164)+1,1),SELIC!$A$4:$A$96,"&lt;="&amp;DATE(YEAR(00_PARAMETROS!$B$4),MONTH(00_PARAMETROS!$B$4)-1,1))+00_PARAMETROS!$B$11,0)</f>
        <v>0</v>
      </c>
      <c r="T164" s="24" t="n">
        <f aca="false">IF(P164+Q164&gt;0,MIN(00_PARAMETROS!$B$9,00_PARAMETROS!$B$8*MAX(0,00_PARAMETROS!$B$4-B164)),0)</f>
        <v>0</v>
      </c>
      <c r="U164" s="11" t="n">
        <f aca="false">ROUND(P164*(1+S164+T164),2)</f>
        <v>0</v>
      </c>
      <c r="V164" s="11" t="n">
        <f aca="false">ROUND(Q164*(1+S164+T164),2)</f>
        <v>0</v>
      </c>
      <c r="W164" s="11" t="n">
        <f aca="false">ROUND(R164*(1+S164+T164),2)</f>
        <v>0</v>
      </c>
      <c r="X164" s="10"/>
    </row>
    <row r="165" customFormat="false" ht="22.35" hidden="false" customHeight="false" outlineLevel="0" collapsed="false">
      <c r="A165" s="10" t="n">
        <v>161</v>
      </c>
      <c r="B165" s="19" t="n">
        <v>46134</v>
      </c>
      <c r="C165" s="21" t="n">
        <f aca="false">YEAR(B165)</f>
        <v>2026</v>
      </c>
      <c r="D165" s="10" t="s">
        <v>256</v>
      </c>
      <c r="E165" s="10" t="s">
        <v>256</v>
      </c>
      <c r="F165" s="11" t="n">
        <v>1600</v>
      </c>
      <c r="G165" s="10" t="s">
        <v>175</v>
      </c>
      <c r="H165" s="10" t="s">
        <v>182</v>
      </c>
      <c r="I165" s="10" t="s">
        <v>325</v>
      </c>
      <c r="J165" s="10" t="s">
        <v>258</v>
      </c>
      <c r="K165" s="22" t="s">
        <v>259</v>
      </c>
      <c r="L165" s="10" t="str">
        <f aca="false">IF(AND(G165="entrada",F165&gt;=00_PARAMETROS!$B$7),"SIM","NÃO")</f>
        <v>NÃO</v>
      </c>
      <c r="M165" s="23"/>
      <c r="N165" s="24" t="n">
        <f aca="false">IFERROR(INDEX(00_PARAMETROS!$B$41:$B$54,MATCH(K165,00_PARAMETROS!$A$41:$A$54,0)),0)</f>
        <v>0</v>
      </c>
      <c r="O165" s="11" t="n">
        <f aca="false">IF(OR(G165&lt;&gt;"entrada",N165=0),0,IF(K165="VENDA_BEM_BR_GCAP",N(M165),F165))</f>
        <v>0</v>
      </c>
      <c r="P165" s="11" t="n">
        <f aca="false">ROUND(O165*N165,2)</f>
        <v>0</v>
      </c>
      <c r="Q165" s="11" t="n">
        <f aca="false">IF(AND(G165="entrada",K165="PENDENTE"),ROUND(F165*00_PARAMETROS!$B$12,2),0)</f>
        <v>0</v>
      </c>
      <c r="R165" s="11" t="n">
        <f aca="false">IF(AND(G165="entrada",K165="PENDENTE"),ROUND(F165*00_PARAMETROS!$B$13,2),0)</f>
        <v>0</v>
      </c>
      <c r="S165" s="24" t="n">
        <f aca="false">IF(P165+Q165&gt;0,SUMIFS(SELIC!$B$4:$B$96,SELIC!$A$4:$A$96,"&gt;="&amp;DATE(YEAR(B165),MONTH(B165)+1,1),SELIC!$A$4:$A$96,"&lt;="&amp;DATE(YEAR(00_PARAMETROS!$B$4),MONTH(00_PARAMETROS!$B$4)-1,1))+00_PARAMETROS!$B$11,0)</f>
        <v>0</v>
      </c>
      <c r="T165" s="24" t="n">
        <f aca="false">IF(P165+Q165&gt;0,MIN(00_PARAMETROS!$B$9,00_PARAMETROS!$B$8*MAX(0,00_PARAMETROS!$B$4-B165)),0)</f>
        <v>0</v>
      </c>
      <c r="U165" s="11" t="n">
        <f aca="false">ROUND(P165*(1+S165+T165),2)</f>
        <v>0</v>
      </c>
      <c r="V165" s="11" t="n">
        <f aca="false">ROUND(Q165*(1+S165+T165),2)</f>
        <v>0</v>
      </c>
      <c r="W165" s="11" t="n">
        <f aca="false">ROUND(R165*(1+S165+T165),2)</f>
        <v>0</v>
      </c>
      <c r="X165" s="10"/>
    </row>
    <row r="166" customFormat="false" ht="32.8" hidden="false" customHeight="false" outlineLevel="0" collapsed="false">
      <c r="A166" s="10" t="n">
        <v>162</v>
      </c>
      <c r="B166" s="19" t="n">
        <v>46134</v>
      </c>
      <c r="C166" s="21" t="n">
        <f aca="false">YEAR(B166)</f>
        <v>2026</v>
      </c>
      <c r="D166" s="10" t="s">
        <v>327</v>
      </c>
      <c r="E166" s="10" t="s">
        <v>328</v>
      </c>
      <c r="F166" s="11" t="n">
        <v>-1610.34</v>
      </c>
      <c r="G166" s="10" t="s">
        <v>181</v>
      </c>
      <c r="H166" s="10" t="s">
        <v>187</v>
      </c>
      <c r="I166" s="10" t="s">
        <v>325</v>
      </c>
      <c r="J166" s="10" t="s">
        <v>188</v>
      </c>
      <c r="K166" s="22" t="s">
        <v>184</v>
      </c>
      <c r="L166" s="10" t="str">
        <f aca="false">IF(AND(G166="entrada",F166&gt;=00_PARAMETROS!$B$7),"SIM","NÃO")</f>
        <v>NÃO</v>
      </c>
      <c r="M166" s="23"/>
      <c r="N166" s="24" t="n">
        <f aca="false">IFERROR(INDEX(00_PARAMETROS!$B$41:$B$54,MATCH(K166,00_PARAMETROS!$A$41:$A$54,0)),0)</f>
        <v>0</v>
      </c>
      <c r="O166" s="11" t="n">
        <f aca="false">IF(OR(G166&lt;&gt;"entrada",N166=0),0,IF(K166="VENDA_BEM_BR_GCAP",N(M166),F166))</f>
        <v>0</v>
      </c>
      <c r="P166" s="11" t="n">
        <f aca="false">ROUND(O166*N166,2)</f>
        <v>0</v>
      </c>
      <c r="Q166" s="11" t="n">
        <f aca="false">IF(AND(G166="entrada",K166="PENDENTE"),ROUND(F166*00_PARAMETROS!$B$12,2),0)</f>
        <v>0</v>
      </c>
      <c r="R166" s="11" t="n">
        <f aca="false">IF(AND(G166="entrada",K166="PENDENTE"),ROUND(F166*00_PARAMETROS!$B$13,2),0)</f>
        <v>0</v>
      </c>
      <c r="S166" s="24" t="n">
        <f aca="false">IF(P166+Q166&gt;0,SUMIFS(SELIC!$B$4:$B$96,SELIC!$A$4:$A$96,"&gt;="&amp;DATE(YEAR(B166),MONTH(B166)+1,1),SELIC!$A$4:$A$96,"&lt;="&amp;DATE(YEAR(00_PARAMETROS!$B$4),MONTH(00_PARAMETROS!$B$4)-1,1))+00_PARAMETROS!$B$11,0)</f>
        <v>0</v>
      </c>
      <c r="T166" s="24" t="n">
        <f aca="false">IF(P166+Q166&gt;0,MIN(00_PARAMETROS!$B$9,00_PARAMETROS!$B$8*MAX(0,00_PARAMETROS!$B$4-B166)),0)</f>
        <v>0</v>
      </c>
      <c r="U166" s="11" t="n">
        <f aca="false">ROUND(P166*(1+S166+T166),2)</f>
        <v>0</v>
      </c>
      <c r="V166" s="11" t="n">
        <f aca="false">ROUND(Q166*(1+S166+T166),2)</f>
        <v>0</v>
      </c>
      <c r="W166" s="11" t="n">
        <f aca="false">ROUND(R166*(1+S166+T166),2)</f>
        <v>0</v>
      </c>
      <c r="X166" s="10"/>
    </row>
    <row r="167" customFormat="false" ht="22.35" hidden="false" customHeight="false" outlineLevel="0" collapsed="false">
      <c r="A167" s="10" t="n">
        <v>163</v>
      </c>
      <c r="B167" s="19" t="n">
        <v>46136</v>
      </c>
      <c r="C167" s="21" t="n">
        <f aca="false">YEAR(B167)</f>
        <v>2026</v>
      </c>
      <c r="D167" s="10" t="s">
        <v>256</v>
      </c>
      <c r="E167" s="10" t="s">
        <v>256</v>
      </c>
      <c r="F167" s="11" t="n">
        <v>400</v>
      </c>
      <c r="G167" s="10" t="s">
        <v>175</v>
      </c>
      <c r="H167" s="10" t="s">
        <v>182</v>
      </c>
      <c r="I167" s="10" t="s">
        <v>325</v>
      </c>
      <c r="J167" s="10" t="s">
        <v>258</v>
      </c>
      <c r="K167" s="22" t="s">
        <v>259</v>
      </c>
      <c r="L167" s="10" t="str">
        <f aca="false">IF(AND(G167="entrada",F167&gt;=00_PARAMETROS!$B$7),"SIM","NÃO")</f>
        <v>NÃO</v>
      </c>
      <c r="M167" s="23"/>
      <c r="N167" s="24" t="n">
        <f aca="false">IFERROR(INDEX(00_PARAMETROS!$B$41:$B$54,MATCH(K167,00_PARAMETROS!$A$41:$A$54,0)),0)</f>
        <v>0</v>
      </c>
      <c r="O167" s="11" t="n">
        <f aca="false">IF(OR(G167&lt;&gt;"entrada",N167=0),0,IF(K167="VENDA_BEM_BR_GCAP",N(M167),F167))</f>
        <v>0</v>
      </c>
      <c r="P167" s="11" t="n">
        <f aca="false">ROUND(O167*N167,2)</f>
        <v>0</v>
      </c>
      <c r="Q167" s="11" t="n">
        <f aca="false">IF(AND(G167="entrada",K167="PENDENTE"),ROUND(F167*00_PARAMETROS!$B$12,2),0)</f>
        <v>0</v>
      </c>
      <c r="R167" s="11" t="n">
        <f aca="false">IF(AND(G167="entrada",K167="PENDENTE"),ROUND(F167*00_PARAMETROS!$B$13,2),0)</f>
        <v>0</v>
      </c>
      <c r="S167" s="24" t="n">
        <f aca="false">IF(P167+Q167&gt;0,SUMIFS(SELIC!$B$4:$B$96,SELIC!$A$4:$A$96,"&gt;="&amp;DATE(YEAR(B167),MONTH(B167)+1,1),SELIC!$A$4:$A$96,"&lt;="&amp;DATE(YEAR(00_PARAMETROS!$B$4),MONTH(00_PARAMETROS!$B$4)-1,1))+00_PARAMETROS!$B$11,0)</f>
        <v>0</v>
      </c>
      <c r="T167" s="24" t="n">
        <f aca="false">IF(P167+Q167&gt;0,MIN(00_PARAMETROS!$B$9,00_PARAMETROS!$B$8*MAX(0,00_PARAMETROS!$B$4-B167)),0)</f>
        <v>0</v>
      </c>
      <c r="U167" s="11" t="n">
        <f aca="false">ROUND(P167*(1+S167+T167),2)</f>
        <v>0</v>
      </c>
      <c r="V167" s="11" t="n">
        <f aca="false">ROUND(Q167*(1+S167+T167),2)</f>
        <v>0</v>
      </c>
      <c r="W167" s="11" t="n">
        <f aca="false">ROUND(R167*(1+S167+T167),2)</f>
        <v>0</v>
      </c>
      <c r="X167" s="10"/>
    </row>
    <row r="168" customFormat="false" ht="22.35" hidden="false" customHeight="false" outlineLevel="0" collapsed="false">
      <c r="A168" s="10" t="n">
        <v>164</v>
      </c>
      <c r="B168" s="19" t="n">
        <v>46136</v>
      </c>
      <c r="C168" s="21" t="n">
        <f aca="false">YEAR(B168)</f>
        <v>2026</v>
      </c>
      <c r="D168" s="10" t="s">
        <v>329</v>
      </c>
      <c r="E168" s="10" t="s">
        <v>330</v>
      </c>
      <c r="F168" s="11" t="n">
        <v>-400</v>
      </c>
      <c r="G168" s="10" t="s">
        <v>181</v>
      </c>
      <c r="H168" s="10" t="s">
        <v>187</v>
      </c>
      <c r="I168" s="10" t="s">
        <v>325</v>
      </c>
      <c r="J168" s="10" t="s">
        <v>188</v>
      </c>
      <c r="K168" s="22" t="s">
        <v>184</v>
      </c>
      <c r="L168" s="10" t="str">
        <f aca="false">IF(AND(G168="entrada",F168&gt;=00_PARAMETROS!$B$7),"SIM","NÃO")</f>
        <v>NÃO</v>
      </c>
      <c r="M168" s="23"/>
      <c r="N168" s="24" t="n">
        <f aca="false">IFERROR(INDEX(00_PARAMETROS!$B$41:$B$54,MATCH(K168,00_PARAMETROS!$A$41:$A$54,0)),0)</f>
        <v>0</v>
      </c>
      <c r="O168" s="11" t="n">
        <f aca="false">IF(OR(G168&lt;&gt;"entrada",N168=0),0,IF(K168="VENDA_BEM_BR_GCAP",N(M168),F168))</f>
        <v>0</v>
      </c>
      <c r="P168" s="11" t="n">
        <f aca="false">ROUND(O168*N168,2)</f>
        <v>0</v>
      </c>
      <c r="Q168" s="11" t="n">
        <f aca="false">IF(AND(G168="entrada",K168="PENDENTE"),ROUND(F168*00_PARAMETROS!$B$12,2),0)</f>
        <v>0</v>
      </c>
      <c r="R168" s="11" t="n">
        <f aca="false">IF(AND(G168="entrada",K168="PENDENTE"),ROUND(F168*00_PARAMETROS!$B$13,2),0)</f>
        <v>0</v>
      </c>
      <c r="S168" s="24" t="n">
        <f aca="false">IF(P168+Q168&gt;0,SUMIFS(SELIC!$B$4:$B$96,SELIC!$A$4:$A$96,"&gt;="&amp;DATE(YEAR(B168),MONTH(B168)+1,1),SELIC!$A$4:$A$96,"&lt;="&amp;DATE(YEAR(00_PARAMETROS!$B$4),MONTH(00_PARAMETROS!$B$4)-1,1))+00_PARAMETROS!$B$11,0)</f>
        <v>0</v>
      </c>
      <c r="T168" s="24" t="n">
        <f aca="false">IF(P168+Q168&gt;0,MIN(00_PARAMETROS!$B$9,00_PARAMETROS!$B$8*MAX(0,00_PARAMETROS!$B$4-B168)),0)</f>
        <v>0</v>
      </c>
      <c r="U168" s="11" t="n">
        <f aca="false">ROUND(P168*(1+S168+T168),2)</f>
        <v>0</v>
      </c>
      <c r="V168" s="11" t="n">
        <f aca="false">ROUND(Q168*(1+S168+T168),2)</f>
        <v>0</v>
      </c>
      <c r="W168" s="11" t="n">
        <f aca="false">ROUND(R168*(1+S168+T168),2)</f>
        <v>0</v>
      </c>
      <c r="X168" s="10"/>
    </row>
    <row r="170" customFormat="false" ht="15" hidden="false" customHeight="false" outlineLevel="0" collapsed="false">
      <c r="D170" s="12" t="s">
        <v>331</v>
      </c>
      <c r="F170" s="14" t="n">
        <f aca="false">SUM(F5:F168)</f>
        <v>-70707.5</v>
      </c>
      <c r="P170" s="14" t="n">
        <f aca="false">SUM(P5:P168)</f>
        <v>0</v>
      </c>
      <c r="Q170" s="14" t="n">
        <f aca="false">SUM(Q5:Q168)</f>
        <v>93526.5</v>
      </c>
      <c r="R170" s="14" t="n">
        <f aca="false">SUM(R5:R168)</f>
        <v>155877.5</v>
      </c>
      <c r="U170" s="14" t="n">
        <f aca="false">SUM(U5:U168)</f>
        <v>0</v>
      </c>
      <c r="V170" s="14" t="n">
        <f aca="false">SUM(V5:V168)</f>
        <v>129120.73</v>
      </c>
      <c r="W170" s="14" t="n">
        <f aca="false">SUM(W5:W168)</f>
        <v>215201.21</v>
      </c>
    </row>
    <row r="171" customFormat="false" ht="15" hidden="false" customHeight="false" outlineLevel="0" collapsed="false">
      <c r="D171" s="15" t="s">
        <v>332</v>
      </c>
      <c r="F171" s="26" t="n">
        <f aca="false">SUMIFS(F5:F168,G5:G168,"entrada",K5:K168,"PENDENTE")</f>
        <v>623510</v>
      </c>
    </row>
    <row r="172" customFormat="false" ht="22.35" hidden="false" customHeight="false" outlineLevel="0" collapsed="false">
      <c r="D172" s="15" t="s">
        <v>333</v>
      </c>
      <c r="F172" s="27" t="n">
        <f aca="false">COUNTIFS(G5:G168,"entrada",K5:K168,"PENDENTE",L5:L168,"SIM")</f>
        <v>15</v>
      </c>
    </row>
  </sheetData>
  <autoFilter ref="A4:X168"/>
  <dataValidations count="1">
    <dataValidation allowBlank="false" errorStyle="stop" operator="between" showDropDown="false" showErrorMessage="false" showInputMessage="false" sqref="K5:K168" type="list">
      <formula1>00_PARAMETROS!$A$41:$A$54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4" min="14" style="0" width="48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6" t="s">
        <v>334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8" t="s">
        <v>335</v>
      </c>
    </row>
    <row r="4" customFormat="false" ht="30" hidden="false" customHeight="true" outlineLevel="0" collapsed="false">
      <c r="A4" s="9" t="s">
        <v>129</v>
      </c>
      <c r="B4" s="9" t="s">
        <v>336</v>
      </c>
      <c r="C4" s="9" t="s">
        <v>337</v>
      </c>
      <c r="D4" s="9" t="s">
        <v>338</v>
      </c>
      <c r="E4" s="9" t="s">
        <v>339</v>
      </c>
      <c r="F4" s="9" t="s">
        <v>340</v>
      </c>
      <c r="G4" s="9" t="s">
        <v>341</v>
      </c>
      <c r="H4" s="9" t="s">
        <v>342</v>
      </c>
      <c r="I4" s="9" t="s">
        <v>343</v>
      </c>
      <c r="J4" s="9" t="s">
        <v>344</v>
      </c>
      <c r="K4" s="9" t="s">
        <v>345</v>
      </c>
      <c r="L4" s="9" t="s">
        <v>346</v>
      </c>
      <c r="M4" s="9" t="s">
        <v>347</v>
      </c>
      <c r="N4" s="9" t="s">
        <v>348</v>
      </c>
      <c r="O4" s="9" t="s">
        <v>28</v>
      </c>
    </row>
    <row r="5" customFormat="false" ht="22.35" hidden="false" customHeight="false" outlineLevel="0" collapsed="false">
      <c r="A5" s="10" t="n">
        <v>2018</v>
      </c>
      <c r="B5" s="10" t="s">
        <v>349</v>
      </c>
      <c r="C5" s="10" t="s">
        <v>95</v>
      </c>
      <c r="D5" s="20" t="n">
        <v>25628</v>
      </c>
      <c r="E5" s="20"/>
      <c r="F5" s="20" t="n">
        <v>25628</v>
      </c>
      <c r="G5" s="20" t="n">
        <v>0</v>
      </c>
      <c r="H5" s="20" t="n">
        <v>0</v>
      </c>
      <c r="I5" s="20" t="n">
        <f aca="false">IF(AND(G5="",H5=""),"",N(G5)+N(H5))</f>
        <v>0</v>
      </c>
      <c r="J5" s="20"/>
      <c r="K5" s="20" t="n">
        <v>0</v>
      </c>
      <c r="L5" s="20" t="n">
        <v>0</v>
      </c>
      <c r="M5" s="20" t="n">
        <f aca="false">IF(INDEX(02_TAX_TIMELINE!$B$5:$B$15,MATCH(A5,02_TAX_TIMELINE!$A$5:$A$15,0))="RESIDENTE",N(G5),0)</f>
        <v>0</v>
      </c>
      <c r="N5" s="10" t="s">
        <v>350</v>
      </c>
      <c r="O5" s="10" t="s">
        <v>99</v>
      </c>
    </row>
    <row r="6" customFormat="false" ht="22.35" hidden="false" customHeight="false" outlineLevel="0" collapsed="false">
      <c r="A6" s="10" t="n">
        <v>2019</v>
      </c>
      <c r="B6" s="10" t="s">
        <v>351</v>
      </c>
      <c r="C6" s="10" t="s">
        <v>103</v>
      </c>
      <c r="D6" s="20" t="n">
        <v>10000</v>
      </c>
      <c r="E6" s="20" t="n">
        <v>10000</v>
      </c>
      <c r="F6" s="20" t="n">
        <v>9293</v>
      </c>
      <c r="G6" s="20" t="n">
        <v>0</v>
      </c>
      <c r="H6" s="20" t="n">
        <v>1413</v>
      </c>
      <c r="I6" s="20" t="n">
        <f aca="false">IF(AND(G6="",H6=""),"",N(G6)+N(H6))</f>
        <v>1413</v>
      </c>
      <c r="J6" s="20" t="n">
        <v>1413</v>
      </c>
      <c r="K6" s="20" t="n">
        <v>0</v>
      </c>
      <c r="L6" s="20" t="n">
        <v>0</v>
      </c>
      <c r="M6" s="20" t="n">
        <f aca="false">IF(INDEX(02_TAX_TIMELINE!$B$5:$B$15,MATCH(A6,02_TAX_TIMELINE!$A$5:$A$15,0))="RESIDENTE",N(G6),0)</f>
        <v>0</v>
      </c>
      <c r="N6" s="10" t="s">
        <v>352</v>
      </c>
      <c r="O6" s="10" t="s">
        <v>99</v>
      </c>
    </row>
    <row r="7" customFormat="false" ht="22.35" hidden="false" customHeight="false" outlineLevel="0" collapsed="false">
      <c r="A7" s="10" t="n">
        <v>2020</v>
      </c>
      <c r="B7" s="10" t="s">
        <v>349</v>
      </c>
      <c r="C7" s="10" t="s">
        <v>103</v>
      </c>
      <c r="D7" s="20" t="n">
        <v>30152</v>
      </c>
      <c r="E7" s="20" t="n">
        <v>2252</v>
      </c>
      <c r="F7" s="20"/>
      <c r="G7" s="20" t="n">
        <v>0</v>
      </c>
      <c r="H7" s="20" t="n">
        <v>318</v>
      </c>
      <c r="I7" s="20" t="n">
        <f aca="false">IF(AND(G7="",H7=""),"",N(G7)+N(H7))</f>
        <v>318</v>
      </c>
      <c r="J7" s="20" t="n">
        <v>318</v>
      </c>
      <c r="K7" s="20" t="n">
        <v>0</v>
      </c>
      <c r="L7" s="20"/>
      <c r="M7" s="20" t="n">
        <f aca="false">IF(INDEX(02_TAX_TIMELINE!$B$5:$B$15,MATCH(A7,02_TAX_TIMELINE!$A$5:$A$15,0))="RESIDENTE",N(G7),0)</f>
        <v>0</v>
      </c>
      <c r="N7" s="10" t="s">
        <v>353</v>
      </c>
      <c r="O7" s="10" t="s">
        <v>99</v>
      </c>
    </row>
    <row r="8" customFormat="false" ht="22.35" hidden="false" customHeight="false" outlineLevel="0" collapsed="false">
      <c r="A8" s="10" t="n">
        <v>2021</v>
      </c>
      <c r="B8" s="10" t="s">
        <v>349</v>
      </c>
      <c r="C8" s="10" t="s">
        <v>103</v>
      </c>
      <c r="D8" s="20" t="n">
        <v>35335</v>
      </c>
      <c r="E8" s="20" t="n">
        <v>4870</v>
      </c>
      <c r="F8" s="20"/>
      <c r="G8" s="20" t="n">
        <v>0</v>
      </c>
      <c r="H8" s="20" t="n">
        <v>686</v>
      </c>
      <c r="I8" s="20" t="n">
        <f aca="false">IF(AND(G8="",H8=""),"",N(G8)+N(H8))</f>
        <v>686</v>
      </c>
      <c r="J8" s="20"/>
      <c r="K8" s="20" t="n">
        <v>0</v>
      </c>
      <c r="L8" s="20"/>
      <c r="M8" s="20" t="n">
        <f aca="false">IF(INDEX(02_TAX_TIMELINE!$B$5:$B$15,MATCH(A8,02_TAX_TIMELINE!$A$5:$A$15,0))="RESIDENTE",N(G8),0)</f>
        <v>0</v>
      </c>
      <c r="N8" s="10" t="s">
        <v>354</v>
      </c>
      <c r="O8" s="10" t="s">
        <v>111</v>
      </c>
    </row>
    <row r="9" customFormat="false" ht="32.8" hidden="false" customHeight="false" outlineLevel="0" collapsed="false">
      <c r="A9" s="10" t="n">
        <v>2022</v>
      </c>
      <c r="B9" s="10" t="s">
        <v>349</v>
      </c>
      <c r="C9" s="10" t="s">
        <v>103</v>
      </c>
      <c r="D9" s="20" t="n">
        <v>40550</v>
      </c>
      <c r="E9" s="20" t="n">
        <v>10823</v>
      </c>
      <c r="F9" s="20" t="n">
        <v>10058</v>
      </c>
      <c r="G9" s="20" t="n">
        <v>0</v>
      </c>
      <c r="H9" s="20" t="n">
        <v>1529</v>
      </c>
      <c r="I9" s="20" t="n">
        <f aca="false">IF(AND(G9="",H9=""),"",N(G9)+N(H9))</f>
        <v>1529</v>
      </c>
      <c r="J9" s="20"/>
      <c r="K9" s="20" t="n">
        <v>0</v>
      </c>
      <c r="L9" s="20"/>
      <c r="M9" s="20" t="n">
        <f aca="false">IF(INDEX(02_TAX_TIMELINE!$B$5:$B$15,MATCH(A9,02_TAX_TIMELINE!$A$5:$A$15,0))="RESIDENTE",N(G9),0)</f>
        <v>0</v>
      </c>
      <c r="N9" s="10" t="s">
        <v>355</v>
      </c>
      <c r="O9" s="10" t="s">
        <v>114</v>
      </c>
    </row>
    <row r="10" customFormat="false" ht="32.8" hidden="false" customHeight="false" outlineLevel="0" collapsed="false">
      <c r="A10" s="10" t="n">
        <v>2023</v>
      </c>
      <c r="B10" s="10" t="s">
        <v>349</v>
      </c>
      <c r="C10" s="10" t="s">
        <v>117</v>
      </c>
      <c r="D10" s="20" t="n">
        <v>75383</v>
      </c>
      <c r="E10" s="20" t="n">
        <v>75383</v>
      </c>
      <c r="F10" s="20"/>
      <c r="G10" s="20" t="n">
        <f aca="false">K10-H10</f>
        <v>4829</v>
      </c>
      <c r="H10" s="20" t="n">
        <v>10651</v>
      </c>
      <c r="I10" s="20" t="n">
        <f aca="false">IF(AND(G10="",H10=""),"",N(G10)+N(H10))</f>
        <v>15480</v>
      </c>
      <c r="J10" s="20"/>
      <c r="K10" s="20" t="n">
        <v>15480</v>
      </c>
      <c r="L10" s="20"/>
      <c r="M10" s="20" t="n">
        <f aca="false">IF(INDEX(02_TAX_TIMELINE!$B$5:$B$15,MATCH(A10,02_TAX_TIMELINE!$A$5:$A$15,0))="RESIDENTE",N(G10),0)</f>
        <v>0</v>
      </c>
      <c r="N10" s="10" t="s">
        <v>356</v>
      </c>
      <c r="O10" s="10" t="s">
        <v>118</v>
      </c>
    </row>
    <row r="11" customFormat="false" ht="32.8" hidden="false" customHeight="false" outlineLevel="0" collapsed="false">
      <c r="A11" s="10" t="n">
        <v>2024</v>
      </c>
      <c r="B11" s="10" t="s">
        <v>357</v>
      </c>
      <c r="C11" s="10" t="s">
        <v>121</v>
      </c>
      <c r="D11" s="20" t="n">
        <v>82153</v>
      </c>
      <c r="E11" s="20" t="n">
        <v>70671</v>
      </c>
      <c r="F11" s="20" t="n">
        <v>81341</v>
      </c>
      <c r="G11" s="20" t="n">
        <v>5039</v>
      </c>
      <c r="H11" s="20" t="n">
        <v>1623</v>
      </c>
      <c r="I11" s="20" t="n">
        <f aca="false">IF(AND(G11="",H11=""),"",N(G11)+N(H11))</f>
        <v>6662</v>
      </c>
      <c r="J11" s="20" t="n">
        <v>0</v>
      </c>
      <c r="K11" s="20" t="n">
        <v>6963</v>
      </c>
      <c r="L11" s="20"/>
      <c r="M11" s="20" t="n">
        <f aca="false">IF(INDEX(02_TAX_TIMELINE!$B$5:$B$15,MATCH(A11,02_TAX_TIMELINE!$A$5:$A$15,0))="RESIDENTE",N(G11),0)</f>
        <v>0</v>
      </c>
      <c r="N11" s="10" t="s">
        <v>358</v>
      </c>
      <c r="O11" s="10" t="s">
        <v>122</v>
      </c>
    </row>
    <row r="12" customFormat="false" ht="32.8" hidden="false" customHeight="false" outlineLevel="0" collapsed="false">
      <c r="A12" s="10" t="n">
        <v>2025</v>
      </c>
      <c r="B12" s="10" t="s">
        <v>191</v>
      </c>
      <c r="C12" s="10" t="s">
        <v>359</v>
      </c>
      <c r="D12" s="20"/>
      <c r="E12" s="20"/>
      <c r="F12" s="20"/>
      <c r="G12" s="20"/>
      <c r="H12" s="20"/>
      <c r="I12" s="20" t="str">
        <f aca="false">IF(AND(G12="",H12=""),"",N(G12)+N(H12))</f>
        <v/>
      </c>
      <c r="J12" s="20"/>
      <c r="K12" s="20"/>
      <c r="L12" s="20"/>
      <c r="M12" s="20" t="n">
        <f aca="false">IF(INDEX(02_TAX_TIMELINE!$B$5:$B$15,MATCH(A12,02_TAX_TIMELINE!$A$5:$A$15,0))="RESIDENTE",N(G12),0)</f>
        <v>0</v>
      </c>
      <c r="N12" s="10" t="s">
        <v>360</v>
      </c>
      <c r="O12" s="1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6" t="s">
        <v>361</v>
      </c>
    </row>
    <row r="2" customFormat="false" ht="15" hidden="false" customHeight="false" outlineLevel="0" collapsed="false">
      <c r="A2" s="7" t="s">
        <v>15</v>
      </c>
    </row>
    <row r="4" customFormat="false" ht="30" hidden="false" customHeight="true" outlineLevel="0" collapsed="false">
      <c r="A4" s="9" t="s">
        <v>362</v>
      </c>
      <c r="B4" s="9" t="s">
        <v>363</v>
      </c>
      <c r="C4" s="9" t="s">
        <v>364</v>
      </c>
    </row>
    <row r="5" customFormat="false" ht="15" hidden="false" customHeight="false" outlineLevel="0" collapsed="false">
      <c r="A5" s="10" t="s">
        <v>365</v>
      </c>
      <c r="B5" s="20" t="n">
        <f aca="false">05_US_TAXES!$G$5</f>
        <v>0</v>
      </c>
      <c r="C5" s="10" t="s">
        <v>366</v>
      </c>
    </row>
    <row r="6" customFormat="false" ht="15" hidden="false" customHeight="false" outlineLevel="0" collapsed="false">
      <c r="A6" s="10" t="s">
        <v>367</v>
      </c>
      <c r="B6" s="20" t="n">
        <f aca="false">05_US_TAXES!$L$5</f>
        <v>0</v>
      </c>
      <c r="C6" s="10" t="s">
        <v>368</v>
      </c>
    </row>
    <row r="7" customFormat="false" ht="22.35" hidden="false" customHeight="false" outlineLevel="0" collapsed="false">
      <c r="A7" s="10" t="s">
        <v>369</v>
      </c>
      <c r="B7" s="28" t="n">
        <v>3.8742</v>
      </c>
      <c r="C7" s="10" t="s">
        <v>370</v>
      </c>
    </row>
    <row r="8" customFormat="false" ht="15" hidden="false" customHeight="false" outlineLevel="0" collapsed="false">
      <c r="A8" s="10" t="s">
        <v>371</v>
      </c>
      <c r="B8" s="11" t="n">
        <f aca="false">ROUND(B5*B7,2)</f>
        <v>0</v>
      </c>
      <c r="C8" s="10"/>
    </row>
    <row r="9" customFormat="false" ht="15" hidden="false" customHeight="false" outlineLevel="0" collapsed="false">
      <c r="A9" s="10" t="s">
        <v>372</v>
      </c>
      <c r="B9" s="11" t="n">
        <f aca="false">07_BRAZIL_TAX_CALCULATION!B30</f>
        <v>10434.74</v>
      </c>
      <c r="C9" s="10" t="s">
        <v>373</v>
      </c>
    </row>
    <row r="10" customFormat="false" ht="15" hidden="false" customHeight="false" outlineLevel="0" collapsed="false">
      <c r="A10" s="10" t="s">
        <v>374</v>
      </c>
      <c r="B10" s="11" t="n">
        <f aca="false">IF(07_BRAZIL_TAX_CALCULATION!B22=0,0,ROUND(B9*07_BRAZIL_TAX_CALCULATION!B20/07_BRAZIL_TAX_CALCULATION!B22,2))</f>
        <v>10434.74</v>
      </c>
      <c r="C10" s="10" t="s">
        <v>375</v>
      </c>
    </row>
    <row r="11" customFormat="false" ht="15" hidden="false" customHeight="false" outlineLevel="0" collapsed="false">
      <c r="A11" s="10" t="s">
        <v>376</v>
      </c>
      <c r="B11" s="29" t="s">
        <v>377</v>
      </c>
      <c r="C11" s="10" t="s">
        <v>378</v>
      </c>
    </row>
    <row r="12" customFormat="false" ht="15" hidden="false" customHeight="false" outlineLevel="0" collapsed="false">
      <c r="A12" s="10" t="s">
        <v>379</v>
      </c>
      <c r="B12" s="29" t="s">
        <v>63</v>
      </c>
      <c r="C12" s="10" t="s">
        <v>380</v>
      </c>
    </row>
    <row r="13" customFormat="false" ht="15" hidden="false" customHeight="false" outlineLevel="0" collapsed="false">
      <c r="A13" s="10"/>
      <c r="B13" s="10"/>
      <c r="C13" s="10"/>
    </row>
    <row r="14" customFormat="false" ht="15" hidden="false" customHeight="false" outlineLevel="0" collapsed="false">
      <c r="A14" s="12" t="s">
        <v>381</v>
      </c>
      <c r="B14" s="14" t="n">
        <f aca="false">MIN(B8,B10)</f>
        <v>0</v>
      </c>
      <c r="C14" s="10" t="s">
        <v>382</v>
      </c>
    </row>
    <row r="15" customFormat="false" ht="15" hidden="false" customHeight="false" outlineLevel="0" collapsed="false">
      <c r="A15" s="10" t="s">
        <v>383</v>
      </c>
      <c r="B15" s="11" t="n">
        <v>0</v>
      </c>
      <c r="C15" s="10" t="s">
        <v>384</v>
      </c>
    </row>
    <row r="16" customFormat="false" ht="15" hidden="false" customHeight="false" outlineLevel="0" collapsed="false">
      <c r="A16" s="10" t="s">
        <v>385</v>
      </c>
      <c r="B16" s="29" t="s">
        <v>107</v>
      </c>
      <c r="C16" s="10" t="s">
        <v>386</v>
      </c>
    </row>
    <row r="17" customFormat="false" ht="15" hidden="false" customHeight="false" outlineLevel="0" collapsed="false">
      <c r="A17" s="10" t="s">
        <v>387</v>
      </c>
      <c r="B17" s="20" t="n">
        <f aca="false">SUM(05_US_TAXES!H6:H11)</f>
        <v>16220</v>
      </c>
      <c r="C17" s="10" t="s">
        <v>388</v>
      </c>
    </row>
    <row r="20" customFormat="false" ht="15" hidden="false" customHeight="false" outlineLevel="0" collapsed="false">
      <c r="A20" s="30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8" min="3" style="0" width="14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6" t="s">
        <v>390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31" t="s">
        <v>391</v>
      </c>
    </row>
    <row r="4" customFormat="false" ht="30" hidden="false" customHeight="true" outlineLevel="0" collapsed="false">
      <c r="A4" s="9" t="s">
        <v>392</v>
      </c>
      <c r="B4" s="9" t="s">
        <v>393</v>
      </c>
      <c r="C4" s="9" t="s">
        <v>394</v>
      </c>
      <c r="D4" s="9" t="s">
        <v>395</v>
      </c>
      <c r="E4" s="9" t="s">
        <v>396</v>
      </c>
      <c r="F4" s="9" t="s">
        <v>397</v>
      </c>
      <c r="G4" s="9"/>
      <c r="H4" s="9"/>
      <c r="I4" s="9" t="s">
        <v>398</v>
      </c>
    </row>
    <row r="5" customFormat="false" ht="22.35" hidden="false" customHeight="false" outlineLevel="0" collapsed="false">
      <c r="A5" s="10" t="s">
        <v>399</v>
      </c>
      <c r="B5" s="32" t="n">
        <f aca="false">05_US_TAXES!$D$5/12</f>
        <v>2135.66666666667</v>
      </c>
      <c r="C5" s="19" t="n">
        <v>43084</v>
      </c>
      <c r="D5" s="33" t="n">
        <v>3.3176</v>
      </c>
      <c r="E5" s="11" t="n">
        <f aca="false">ROUND(B5*D5,2)</f>
        <v>7085.29</v>
      </c>
      <c r="F5" s="11" t="n">
        <f aca="false">ROUND(MAX(0,E5*LOOKUP(E5,00_PARAMETROS!$A$25:$A$29,00_PARAMETROS!$B$25:$B$29)-LOOKUP(E5,00_PARAMETROS!$A$25:$A$29,00_PARAMETROS!$C$25:$C$29)),2)</f>
        <v>1079.09</v>
      </c>
      <c r="G5" s="10"/>
      <c r="H5" s="10"/>
      <c r="I5" s="10" t="s">
        <v>400</v>
      </c>
    </row>
    <row r="6" customFormat="false" ht="15" hidden="false" customHeight="false" outlineLevel="0" collapsed="false">
      <c r="A6" s="10" t="s">
        <v>401</v>
      </c>
      <c r="B6" s="32" t="n">
        <f aca="false">05_US_TAXES!$D$5/12</f>
        <v>2135.66666666667</v>
      </c>
      <c r="C6" s="19" t="n">
        <v>43115</v>
      </c>
      <c r="D6" s="33" t="n">
        <v>3.1957</v>
      </c>
      <c r="E6" s="11" t="n">
        <f aca="false">ROUND(B6*D6,2)</f>
        <v>6824.95</v>
      </c>
      <c r="F6" s="11" t="n">
        <f aca="false">ROUND(MAX(0,E6*LOOKUP(E6,00_PARAMETROS!$A$25:$A$29,00_PARAMETROS!$B$25:$B$29)-LOOKUP(E6,00_PARAMETROS!$A$25:$A$29,00_PARAMETROS!$C$25:$C$29)),2)</f>
        <v>1007.5</v>
      </c>
      <c r="G6" s="10"/>
      <c r="H6" s="10"/>
      <c r="I6" s="10"/>
    </row>
    <row r="7" customFormat="false" ht="15" hidden="false" customHeight="false" outlineLevel="0" collapsed="false">
      <c r="A7" s="10" t="s">
        <v>402</v>
      </c>
      <c r="B7" s="32" t="n">
        <f aca="false">05_US_TAXES!$D$5/12</f>
        <v>2135.66666666667</v>
      </c>
      <c r="C7" s="19" t="n">
        <v>43146</v>
      </c>
      <c r="D7" s="33" t="n">
        <v>3.2202</v>
      </c>
      <c r="E7" s="11" t="n">
        <f aca="false">ROUND(B7*D7,2)</f>
        <v>6877.27</v>
      </c>
      <c r="F7" s="11" t="n">
        <f aca="false">ROUND(MAX(0,E7*LOOKUP(E7,00_PARAMETROS!$A$25:$A$29,00_PARAMETROS!$B$25:$B$29)-LOOKUP(E7,00_PARAMETROS!$A$25:$A$29,00_PARAMETROS!$C$25:$C$29)),2)</f>
        <v>1021.89</v>
      </c>
      <c r="G7" s="10"/>
      <c r="H7" s="10"/>
      <c r="I7" s="10"/>
    </row>
    <row r="8" customFormat="false" ht="15" hidden="false" customHeight="false" outlineLevel="0" collapsed="false">
      <c r="A8" s="10" t="s">
        <v>403</v>
      </c>
      <c r="B8" s="32" t="n">
        <f aca="false">05_US_TAXES!$D$5/12</f>
        <v>2135.66666666667</v>
      </c>
      <c r="C8" s="19" t="n">
        <v>43174</v>
      </c>
      <c r="D8" s="33" t="n">
        <v>3.2853</v>
      </c>
      <c r="E8" s="11" t="n">
        <f aca="false">ROUND(B8*D8,2)</f>
        <v>7016.31</v>
      </c>
      <c r="F8" s="11" t="n">
        <f aca="false">ROUND(MAX(0,E8*LOOKUP(E8,00_PARAMETROS!$A$25:$A$29,00_PARAMETROS!$B$25:$B$29)-LOOKUP(E8,00_PARAMETROS!$A$25:$A$29,00_PARAMETROS!$C$25:$C$29)),2)</f>
        <v>1060.13</v>
      </c>
      <c r="G8" s="10"/>
      <c r="H8" s="10"/>
      <c r="I8" s="10"/>
    </row>
    <row r="9" customFormat="false" ht="15" hidden="false" customHeight="false" outlineLevel="0" collapsed="false">
      <c r="A9" s="10" t="s">
        <v>404</v>
      </c>
      <c r="B9" s="32" t="n">
        <f aca="false">05_US_TAXES!$D$5/12</f>
        <v>2135.66666666667</v>
      </c>
      <c r="C9" s="19" t="n">
        <v>43203</v>
      </c>
      <c r="D9" s="33" t="n">
        <v>3.4099</v>
      </c>
      <c r="E9" s="11" t="n">
        <f aca="false">ROUND(B9*D9,2)</f>
        <v>7282.41</v>
      </c>
      <c r="F9" s="11" t="n">
        <f aca="false">ROUND(MAX(0,E9*LOOKUP(E9,00_PARAMETROS!$A$25:$A$29,00_PARAMETROS!$B$25:$B$29)-LOOKUP(E9,00_PARAMETROS!$A$25:$A$29,00_PARAMETROS!$C$25:$C$29)),2)</f>
        <v>1133.3</v>
      </c>
      <c r="G9" s="10"/>
      <c r="H9" s="10"/>
      <c r="I9" s="10"/>
    </row>
    <row r="10" customFormat="false" ht="15" hidden="false" customHeight="false" outlineLevel="0" collapsed="false">
      <c r="A10" s="10" t="s">
        <v>405</v>
      </c>
      <c r="B10" s="32" t="n">
        <f aca="false">05_US_TAXES!$D$5/12</f>
        <v>2135.66666666667</v>
      </c>
      <c r="C10" s="19" t="n">
        <v>43235</v>
      </c>
      <c r="D10" s="33" t="n">
        <v>3.6747</v>
      </c>
      <c r="E10" s="11" t="n">
        <f aca="false">ROUND(B10*D10,2)</f>
        <v>7847.93</v>
      </c>
      <c r="F10" s="11" t="n">
        <f aca="false">ROUND(MAX(0,E10*LOOKUP(E10,00_PARAMETROS!$A$25:$A$29,00_PARAMETROS!$B$25:$B$29)-LOOKUP(E10,00_PARAMETROS!$A$25:$A$29,00_PARAMETROS!$C$25:$C$29)),2)</f>
        <v>1288.82</v>
      </c>
      <c r="G10" s="10"/>
      <c r="H10" s="10"/>
      <c r="I10" s="10"/>
    </row>
    <row r="11" customFormat="false" ht="15" hidden="false" customHeight="false" outlineLevel="0" collapsed="false">
      <c r="A11" s="10" t="s">
        <v>406</v>
      </c>
      <c r="B11" s="32" t="n">
        <f aca="false">05_US_TAXES!$D$5/12</f>
        <v>2135.66666666667</v>
      </c>
      <c r="C11" s="19" t="n">
        <v>43266</v>
      </c>
      <c r="D11" s="33" t="n">
        <v>3.7732</v>
      </c>
      <c r="E11" s="11" t="n">
        <f aca="false">ROUND(B11*D11,2)</f>
        <v>8058.3</v>
      </c>
      <c r="F11" s="11" t="n">
        <f aca="false">ROUND(MAX(0,E11*LOOKUP(E11,00_PARAMETROS!$A$25:$A$29,00_PARAMETROS!$B$25:$B$29)-LOOKUP(E11,00_PARAMETROS!$A$25:$A$29,00_PARAMETROS!$C$25:$C$29)),2)</f>
        <v>1346.67</v>
      </c>
      <c r="G11" s="10"/>
      <c r="H11" s="10"/>
      <c r="I11" s="10"/>
    </row>
    <row r="12" customFormat="false" ht="15" hidden="false" customHeight="false" outlineLevel="0" collapsed="false">
      <c r="A12" s="10" t="s">
        <v>407</v>
      </c>
      <c r="B12" s="32" t="n">
        <f aca="false">05_US_TAXES!$D$5/12</f>
        <v>2135.66666666667</v>
      </c>
      <c r="C12" s="19" t="n">
        <v>43294</v>
      </c>
      <c r="D12" s="33" t="n">
        <v>3.8739</v>
      </c>
      <c r="E12" s="11" t="n">
        <f aca="false">ROUND(B12*D12,2)</f>
        <v>8273.36</v>
      </c>
      <c r="F12" s="11" t="n">
        <f aca="false">ROUND(MAX(0,E12*LOOKUP(E12,00_PARAMETROS!$A$25:$A$29,00_PARAMETROS!$B$25:$B$29)-LOOKUP(E12,00_PARAMETROS!$A$25:$A$29,00_PARAMETROS!$C$25:$C$29)),2)</f>
        <v>1405.81</v>
      </c>
      <c r="G12" s="10"/>
      <c r="H12" s="10"/>
      <c r="I12" s="10"/>
    </row>
    <row r="13" customFormat="false" ht="15" hidden="false" customHeight="false" outlineLevel="0" collapsed="false">
      <c r="A13" s="10" t="s">
        <v>408</v>
      </c>
      <c r="B13" s="32" t="n">
        <f aca="false">05_US_TAXES!$D$5/12</f>
        <v>2135.66666666667</v>
      </c>
      <c r="C13" s="19" t="n">
        <v>43327</v>
      </c>
      <c r="D13" s="33" t="n">
        <v>3.9128</v>
      </c>
      <c r="E13" s="11" t="n">
        <f aca="false">ROUND(B13*D13,2)</f>
        <v>8356.44</v>
      </c>
      <c r="F13" s="11" t="n">
        <f aca="false">ROUND(MAX(0,E13*LOOKUP(E13,00_PARAMETROS!$A$25:$A$29,00_PARAMETROS!$B$25:$B$29)-LOOKUP(E13,00_PARAMETROS!$A$25:$A$29,00_PARAMETROS!$C$25:$C$29)),2)</f>
        <v>1428.66</v>
      </c>
      <c r="G13" s="10"/>
      <c r="H13" s="10"/>
      <c r="I13" s="10"/>
    </row>
    <row r="14" customFormat="false" ht="15" hidden="false" customHeight="false" outlineLevel="0" collapsed="false">
      <c r="A14" s="10" t="s">
        <v>409</v>
      </c>
      <c r="B14" s="32" t="n">
        <f aca="false">05_US_TAXES!$D$5/12</f>
        <v>2135.66666666667</v>
      </c>
      <c r="C14" s="19" t="n">
        <v>43357</v>
      </c>
      <c r="D14" s="33" t="n">
        <v>4.1873</v>
      </c>
      <c r="E14" s="11" t="n">
        <f aca="false">ROUND(B14*D14,2)</f>
        <v>8942.68</v>
      </c>
      <c r="F14" s="11" t="n">
        <f aca="false">ROUND(MAX(0,E14*LOOKUP(E14,00_PARAMETROS!$A$25:$A$29,00_PARAMETROS!$B$25:$B$29)-LOOKUP(E14,00_PARAMETROS!$A$25:$A$29,00_PARAMETROS!$C$25:$C$29)),2)</f>
        <v>1589.88</v>
      </c>
      <c r="G14" s="10"/>
      <c r="H14" s="10"/>
      <c r="I14" s="10"/>
    </row>
    <row r="15" customFormat="false" ht="15" hidden="false" customHeight="false" outlineLevel="0" collapsed="false">
      <c r="A15" s="10" t="s">
        <v>410</v>
      </c>
      <c r="B15" s="32" t="n">
        <f aca="false">05_US_TAXES!$D$5/12</f>
        <v>2135.66666666667</v>
      </c>
      <c r="C15" s="19" t="n">
        <v>43388</v>
      </c>
      <c r="D15" s="33" t="n">
        <v>3.7326</v>
      </c>
      <c r="E15" s="11" t="n">
        <f aca="false">ROUND(B15*D15,2)</f>
        <v>7971.59</v>
      </c>
      <c r="F15" s="11" t="n">
        <f aca="false">ROUND(MAX(0,E15*LOOKUP(E15,00_PARAMETROS!$A$25:$A$29,00_PARAMETROS!$B$25:$B$29)-LOOKUP(E15,00_PARAMETROS!$A$25:$A$29,00_PARAMETROS!$C$25:$C$29)),2)</f>
        <v>1322.83</v>
      </c>
      <c r="G15" s="10"/>
      <c r="H15" s="10"/>
      <c r="I15" s="10"/>
    </row>
    <row r="16" customFormat="false" ht="15" hidden="false" customHeight="false" outlineLevel="0" collapsed="false">
      <c r="A16" s="10" t="s">
        <v>411</v>
      </c>
      <c r="B16" s="32" t="n">
        <f aca="false">05_US_TAXES!$D$5/12</f>
        <v>2135.66666666667</v>
      </c>
      <c r="C16" s="19" t="n">
        <v>43418</v>
      </c>
      <c r="D16" s="33" t="n">
        <v>3.7918</v>
      </c>
      <c r="E16" s="11" t="n">
        <f aca="false">ROUND(B16*D16,2)</f>
        <v>8098.02</v>
      </c>
      <c r="F16" s="11" t="n">
        <f aca="false">ROUND(MAX(0,E16*LOOKUP(E16,00_PARAMETROS!$A$25:$A$29,00_PARAMETROS!$B$25:$B$29)-LOOKUP(E16,00_PARAMETROS!$A$25:$A$29,00_PARAMETROS!$C$25:$C$29)),2)</f>
        <v>1357.6</v>
      </c>
      <c r="G16" s="10"/>
      <c r="H16" s="10"/>
      <c r="I16" s="10"/>
    </row>
    <row r="17" customFormat="false" ht="32.8" hidden="false" customHeight="false" outlineLevel="0" collapsed="false">
      <c r="A17" s="12" t="s">
        <v>412</v>
      </c>
      <c r="B17" s="34" t="n">
        <f aca="false">SUM(B5:B16)</f>
        <v>25628</v>
      </c>
      <c r="E17" s="14" t="n">
        <f aca="false">SUM(E5:E16)</f>
        <v>92634.55</v>
      </c>
      <c r="F17" s="14" t="n">
        <f aca="false">SUM(F5:F16)</f>
        <v>15042.18</v>
      </c>
      <c r="I17" s="10" t="s">
        <v>413</v>
      </c>
    </row>
    <row r="19" customFormat="false" ht="30" hidden="false" customHeight="true" outlineLevel="0" collapsed="false">
      <c r="A19" s="9" t="s">
        <v>414</v>
      </c>
      <c r="B19" s="9" t="s">
        <v>415</v>
      </c>
      <c r="C19" s="9"/>
      <c r="D19" s="9"/>
      <c r="E19" s="9"/>
      <c r="F19" s="9"/>
      <c r="G19" s="9"/>
      <c r="H19" s="9"/>
      <c r="I19" s="9" t="s">
        <v>416</v>
      </c>
    </row>
    <row r="20" customFormat="false" ht="15" hidden="false" customHeight="false" outlineLevel="0" collapsed="false">
      <c r="A20" s="10" t="s">
        <v>417</v>
      </c>
      <c r="B20" s="11" t="n">
        <f aca="false">E17</f>
        <v>92634.55</v>
      </c>
      <c r="C20" s="10"/>
      <c r="D20" s="10"/>
      <c r="E20" s="10"/>
      <c r="F20" s="10"/>
      <c r="G20" s="10"/>
      <c r="H20" s="10"/>
      <c r="I20" s="10" t="s">
        <v>418</v>
      </c>
    </row>
    <row r="21" customFormat="false" ht="22.35" hidden="false" customHeight="false" outlineLevel="0" collapsed="false">
      <c r="A21" s="10" t="s">
        <v>419</v>
      </c>
      <c r="B21" s="23" t="n">
        <v>0</v>
      </c>
      <c r="C21" s="10"/>
      <c r="D21" s="10"/>
      <c r="E21" s="10"/>
      <c r="F21" s="10"/>
      <c r="G21" s="10"/>
      <c r="H21" s="10"/>
      <c r="I21" s="10" t="s">
        <v>420</v>
      </c>
    </row>
    <row r="22" customFormat="false" ht="15" hidden="false" customHeight="false" outlineLevel="0" collapsed="false">
      <c r="A22" s="10" t="s">
        <v>421</v>
      </c>
      <c r="B22" s="11" t="n">
        <f aca="false">B20+B21</f>
        <v>92634.55</v>
      </c>
      <c r="C22" s="10"/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 t="s">
        <v>422</v>
      </c>
      <c r="B23" s="11" t="str">
        <f aca="false">IF(B22&gt;00_PARAMETROS!$B$36,"SIM","NÃO")</f>
        <v>SIM</v>
      </c>
      <c r="C23" s="10"/>
      <c r="D23" s="10"/>
      <c r="E23" s="10"/>
      <c r="F23" s="10"/>
      <c r="G23" s="10"/>
      <c r="H23" s="10"/>
      <c r="I23" s="10" t="s">
        <v>423</v>
      </c>
    </row>
    <row r="24" customFormat="false" ht="15" hidden="false" customHeight="false" outlineLevel="0" collapsed="false">
      <c r="A24" s="10" t="s">
        <v>424</v>
      </c>
      <c r="B24" s="11" t="n">
        <f aca="false">MIN(B22*00_PARAMETROS!$B$32,00_PARAMETROS!$B$33)</f>
        <v>16754.34</v>
      </c>
      <c r="C24" s="10"/>
      <c r="D24" s="10"/>
      <c r="E24" s="10"/>
      <c r="F24" s="10"/>
      <c r="G24" s="10"/>
      <c r="H24" s="10"/>
      <c r="I24" s="10" t="s">
        <v>425</v>
      </c>
    </row>
    <row r="25" customFormat="false" ht="15" hidden="false" customHeight="false" outlineLevel="0" collapsed="false">
      <c r="A25" s="10" t="s">
        <v>426</v>
      </c>
      <c r="B25" s="11" t="n">
        <f aca="false">B22-B24</f>
        <v>75880.21</v>
      </c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 t="s">
        <v>427</v>
      </c>
      <c r="B26" s="11" t="n">
        <f aca="false">ROUND(MAX(0,B25*LOOKUP(B25,00_PARAMETROS!$A$17:$A$21,00_PARAMETROS!$B$17:$B$21)-LOOKUP(B25,00_PARAMETROS!$A$17:$A$21,00_PARAMETROS!$C$17:$C$21)),2)</f>
        <v>10434.74</v>
      </c>
      <c r="C26" s="10"/>
      <c r="D26" s="10"/>
      <c r="E26" s="10"/>
      <c r="F26" s="10"/>
      <c r="G26" s="10"/>
      <c r="H26" s="10"/>
      <c r="I26" s="10" t="s">
        <v>428</v>
      </c>
    </row>
    <row r="27" customFormat="false" ht="22.35" hidden="false" customHeight="false" outlineLevel="0" collapsed="false">
      <c r="A27" s="10" t="s">
        <v>429</v>
      </c>
      <c r="B27" s="11" t="n">
        <f aca="false">00_PARAMETROS!$B$35*00_PARAMETROS!$B$34</f>
        <v>6825.24</v>
      </c>
      <c r="C27" s="10"/>
      <c r="D27" s="10"/>
      <c r="E27" s="10"/>
      <c r="F27" s="10"/>
      <c r="G27" s="10"/>
      <c r="H27" s="10"/>
      <c r="I27" s="10" t="s">
        <v>430</v>
      </c>
    </row>
    <row r="28" customFormat="false" ht="15" hidden="false" customHeight="false" outlineLevel="0" collapsed="false">
      <c r="A28" s="10" t="s">
        <v>431</v>
      </c>
      <c r="B28" s="11" t="n">
        <f aca="false">MAX(0,B22-B27)</f>
        <v>85809.31</v>
      </c>
      <c r="C28" s="10"/>
      <c r="D28" s="10"/>
      <c r="E28" s="10"/>
      <c r="F28" s="10"/>
      <c r="G28" s="10"/>
      <c r="H28" s="10"/>
      <c r="I28" s="10" t="s">
        <v>432</v>
      </c>
    </row>
    <row r="29" customFormat="false" ht="15" hidden="false" customHeight="false" outlineLevel="0" collapsed="false">
      <c r="A29" s="10" t="s">
        <v>433</v>
      </c>
      <c r="B29" s="11" t="n">
        <f aca="false">ROUND(MAX(0,B28*LOOKUP(B28,00_PARAMETROS!$A$17:$A$21,00_PARAMETROS!$B$17:$B$21)-LOOKUP(B28,00_PARAMETROS!$A$17:$A$21,00_PARAMETROS!$C$17:$C$21)),2)</f>
        <v>13165.24</v>
      </c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 t="s">
        <v>434</v>
      </c>
      <c r="B30" s="11" t="n">
        <f aca="false">MIN(B26,B29)</f>
        <v>10434.74</v>
      </c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 t="s">
        <v>435</v>
      </c>
      <c r="B31" s="23" t="n">
        <v>0</v>
      </c>
      <c r="C31" s="10"/>
      <c r="D31" s="10"/>
      <c r="E31" s="10"/>
      <c r="F31" s="10"/>
      <c r="G31" s="10"/>
      <c r="H31" s="10"/>
      <c r="I31" s="10" t="s">
        <v>436</v>
      </c>
    </row>
    <row r="32" customFormat="false" ht="15" hidden="false" customHeight="false" outlineLevel="0" collapsed="false">
      <c r="A32" s="10" t="s">
        <v>437</v>
      </c>
      <c r="B32" s="11" t="n">
        <f aca="false">06_FOREIGN_TAX_CREDIT!B14</f>
        <v>0</v>
      </c>
      <c r="C32" s="10"/>
      <c r="D32" s="10"/>
      <c r="E32" s="10"/>
      <c r="F32" s="10"/>
      <c r="G32" s="10"/>
      <c r="H32" s="10"/>
      <c r="I32" s="10" t="s">
        <v>438</v>
      </c>
    </row>
    <row r="33" customFormat="false" ht="15" hidden="false" customHeight="false" outlineLevel="0" collapsed="false">
      <c r="A33" s="12" t="s">
        <v>439</v>
      </c>
      <c r="B33" s="14" t="n">
        <f aca="false">MAX(0,B30-B31-B32)</f>
        <v>10434.74</v>
      </c>
      <c r="C33" s="10"/>
      <c r="D33" s="10"/>
      <c r="E33" s="10"/>
      <c r="F33" s="10"/>
      <c r="G33" s="10"/>
      <c r="H33" s="10"/>
      <c r="I33" s="10" t="s">
        <v>440</v>
      </c>
    </row>
    <row r="34" customFormat="false" ht="22.35" hidden="false" customHeight="false" outlineLevel="0" collapsed="false">
      <c r="A34" s="10" t="s">
        <v>441</v>
      </c>
      <c r="B34" s="11" t="n">
        <v>11415.06</v>
      </c>
      <c r="C34" s="10"/>
      <c r="D34" s="10"/>
      <c r="E34" s="10"/>
      <c r="F34" s="10"/>
      <c r="G34" s="10"/>
      <c r="H34" s="10"/>
      <c r="I34" s="10" t="s">
        <v>442</v>
      </c>
    </row>
    <row r="35" customFormat="false" ht="15" hidden="false" customHeight="false" outlineLevel="0" collapsed="false">
      <c r="A35" s="10" t="s">
        <v>443</v>
      </c>
      <c r="B35" s="11" t="n">
        <f aca="false">B33-B34</f>
        <v>-980.32</v>
      </c>
      <c r="C35" s="10"/>
      <c r="D35" s="10"/>
      <c r="E35" s="10"/>
      <c r="F35" s="10"/>
      <c r="G35" s="10"/>
      <c r="H35" s="10"/>
      <c r="I35" s="10"/>
    </row>
    <row r="37" customFormat="false" ht="15" hidden="false" customHeight="false" outlineLevel="0" collapsed="false">
      <c r="A37" s="31" t="s">
        <v>444</v>
      </c>
    </row>
    <row r="38" customFormat="false" ht="30" hidden="false" customHeight="true" outlineLevel="0" collapsed="false">
      <c r="A38" s="9" t="s">
        <v>445</v>
      </c>
      <c r="B38" s="9" t="s">
        <v>363</v>
      </c>
      <c r="C38" s="9"/>
      <c r="D38" s="9"/>
      <c r="E38" s="9"/>
      <c r="F38" s="9"/>
      <c r="G38" s="9"/>
      <c r="H38" s="9"/>
      <c r="I38" s="9" t="s">
        <v>446</v>
      </c>
    </row>
    <row r="39" customFormat="false" ht="15" hidden="false" customHeight="false" outlineLevel="0" collapsed="false">
      <c r="A39" s="10" t="s">
        <v>447</v>
      </c>
      <c r="B39" s="20" t="n">
        <f aca="false">05_US_TAXES!$E$6</f>
        <v>10000</v>
      </c>
      <c r="C39" s="10"/>
      <c r="D39" s="10"/>
      <c r="E39" s="10"/>
      <c r="F39" s="10"/>
      <c r="G39" s="10"/>
      <c r="H39" s="10"/>
      <c r="I39" s="10" t="s">
        <v>448</v>
      </c>
    </row>
    <row r="40" customFormat="false" ht="15" hidden="false" customHeight="false" outlineLevel="0" collapsed="false">
      <c r="A40" s="10" t="s">
        <v>449</v>
      </c>
      <c r="B40" s="21" t="n">
        <f aca="false">00_PARAMETROS!$B$6-DATE(2019,1,1)</f>
        <v>24</v>
      </c>
      <c r="C40" s="10"/>
      <c r="D40" s="10"/>
      <c r="E40" s="10"/>
      <c r="F40" s="10"/>
      <c r="G40" s="10"/>
      <c r="H40" s="10"/>
      <c r="I40" s="10" t="s">
        <v>450</v>
      </c>
    </row>
    <row r="41" customFormat="false" ht="15" hidden="false" customHeight="false" outlineLevel="0" collapsed="false">
      <c r="A41" s="10" t="s">
        <v>451</v>
      </c>
      <c r="B41" s="20" t="n">
        <f aca="false">ROUND(B39*B40/365,2)</f>
        <v>657.53</v>
      </c>
      <c r="C41" s="10"/>
      <c r="D41" s="10"/>
      <c r="E41" s="10"/>
      <c r="F41" s="10"/>
      <c r="G41" s="10"/>
      <c r="H41" s="10"/>
      <c r="I41" s="10" t="s">
        <v>452</v>
      </c>
    </row>
    <row r="42" customFormat="false" ht="15" hidden="false" customHeight="false" outlineLevel="0" collapsed="false">
      <c r="A42" s="10" t="s">
        <v>453</v>
      </c>
      <c r="B42" s="33" t="n">
        <v>3.9084</v>
      </c>
      <c r="C42" s="10"/>
      <c r="D42" s="10"/>
      <c r="E42" s="10"/>
      <c r="F42" s="10"/>
      <c r="G42" s="10"/>
      <c r="H42" s="10"/>
      <c r="I42" s="10" t="s">
        <v>454</v>
      </c>
    </row>
    <row r="43" customFormat="false" ht="15" hidden="false" customHeight="false" outlineLevel="0" collapsed="false">
      <c r="A43" s="10" t="s">
        <v>455</v>
      </c>
      <c r="B43" s="11" t="n">
        <f aca="false">ROUND(B41*B42,2)</f>
        <v>2569.89</v>
      </c>
      <c r="C43" s="10"/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10" t="s">
        <v>456</v>
      </c>
      <c r="B44" s="10" t="str">
        <f aca="false">IF(B43&gt;00_PARAMETROS!$B$36,"SIM","NÃO")</f>
        <v>NÃO</v>
      </c>
      <c r="C44" s="10"/>
      <c r="D44" s="10"/>
      <c r="E44" s="10"/>
      <c r="F44" s="10"/>
      <c r="G44" s="10"/>
      <c r="H44" s="10"/>
      <c r="I44" s="10" t="s">
        <v>457</v>
      </c>
    </row>
    <row r="45" customFormat="false" ht="15" hidden="false" customHeight="false" outlineLevel="0" collapsed="false">
      <c r="A45" s="10" t="s">
        <v>458</v>
      </c>
      <c r="B45" s="11" t="n">
        <f aca="false">ROUND(MAX(0,B43*LOOKUP(B43,00_PARAMETROS!$A$17:$A$21,00_PARAMETROS!$B$17:$B$21)-LOOKUP(B43,00_PARAMETROS!$A$17:$A$21,00_PARAMETROS!$C$17:$C$21)),2)</f>
        <v>0</v>
      </c>
      <c r="C45" s="10"/>
      <c r="D45" s="10"/>
      <c r="E45" s="10"/>
      <c r="F45" s="10"/>
      <c r="G45" s="10"/>
      <c r="H45" s="10"/>
      <c r="I45" s="10" t="s">
        <v>459</v>
      </c>
    </row>
    <row r="46" customFormat="false" ht="15" hidden="false" customHeight="false" outlineLevel="0" collapsed="false">
      <c r="A46" s="10" t="s">
        <v>460</v>
      </c>
      <c r="B46" s="11" t="n">
        <f aca="false">MAX(00_PARAMETROS!$B$37,0)</f>
        <v>165.74</v>
      </c>
      <c r="C46" s="10"/>
      <c r="D46" s="10"/>
      <c r="E46" s="10"/>
      <c r="F46" s="10"/>
      <c r="G46" s="10"/>
      <c r="H46" s="10"/>
      <c r="I46" s="10" t="s">
        <v>461</v>
      </c>
    </row>
    <row r="48" customFormat="false" ht="15" hidden="false" customHeight="false" outlineLevel="0" collapsed="false">
      <c r="A48" s="31" t="s">
        <v>462</v>
      </c>
    </row>
    <row r="49" customFormat="false" ht="30" hidden="false" customHeight="true" outlineLevel="0" collapsed="false">
      <c r="A49" s="9" t="s">
        <v>39</v>
      </c>
      <c r="B49" s="9" t="s">
        <v>463</v>
      </c>
      <c r="C49" s="9" t="s">
        <v>464</v>
      </c>
      <c r="D49" s="9" t="s">
        <v>465</v>
      </c>
      <c r="E49" s="9" t="s">
        <v>466</v>
      </c>
      <c r="F49" s="9" t="s">
        <v>467</v>
      </c>
      <c r="G49" s="9" t="s">
        <v>468</v>
      </c>
      <c r="H49" s="9" t="s">
        <v>469</v>
      </c>
      <c r="I49" s="9" t="s">
        <v>398</v>
      </c>
    </row>
    <row r="50" customFormat="false" ht="22.35" hidden="false" customHeight="false" outlineLevel="0" collapsed="false">
      <c r="A50" s="10" t="n">
        <v>2019</v>
      </c>
      <c r="B50" s="10" t="n">
        <v>0</v>
      </c>
      <c r="C50" s="11" t="n">
        <f aca="false">SUMIFS(04_BANK_TRANSACTIONS!$F$5:$F$168,04_BANK_TRANSACTIONS!$C$5:$C$168,A50,04_BANK_TRANSACTIONS!$G$5:$G$168,"entrada")</f>
        <v>0</v>
      </c>
      <c r="D50" s="11" t="n">
        <f aca="false">SUMIFS(04_BANK_TRANSACTIONS!$F$5:$F$168,04_BANK_TRANSACTIONS!$C$5:$C$168,A50,04_BANK_TRANSACTIONS!$G$5:$G$168,"entrada",04_BANK_TRANSACTIONS!$K$5:$K$168,"PENDENTE")</f>
        <v>0</v>
      </c>
      <c r="E50" s="11" t="n">
        <f aca="false">SUMIFS(04_BANK_TRANSACTIONS!$O$5:$O$168,04_BANK_TRANSACTIONS!$C$5:$C$168,A50)</f>
        <v>0</v>
      </c>
      <c r="F50" s="11" t="n">
        <f aca="false">SUMIFS(04_BANK_TRANSACTIONS!$P$5:$P$168,04_BANK_TRANSACTIONS!$C$5:$C$168,A50)</f>
        <v>0</v>
      </c>
      <c r="G50" s="11" t="n">
        <f aca="false">SUMIFS(04_BANK_TRANSACTIONS!$Q$5:$Q$168,04_BANK_TRANSACTIONS!$C$5:$C$168,A50)</f>
        <v>0</v>
      </c>
      <c r="H50" s="11" t="n">
        <f aca="false">SUMIFS(04_BANK_TRANSACTIONS!$R$5:$R$168,04_BANK_TRANSACTIONS!$C$5:$C$168,A50)</f>
        <v>0</v>
      </c>
      <c r="I50" s="10" t="s">
        <v>470</v>
      </c>
    </row>
    <row r="51" customFormat="false" ht="22.35" hidden="false" customHeight="false" outlineLevel="0" collapsed="false">
      <c r="A51" s="10" t="n">
        <v>2020</v>
      </c>
      <c r="B51" s="10" t="n">
        <v>0</v>
      </c>
      <c r="C51" s="11" t="n">
        <f aca="false">SUMIFS(04_BANK_TRANSACTIONS!$F$5:$F$168,04_BANK_TRANSACTIONS!$C$5:$C$168,A51,04_BANK_TRANSACTIONS!$G$5:$G$168,"entrada")</f>
        <v>0</v>
      </c>
      <c r="D51" s="11" t="n">
        <f aca="false">SUMIFS(04_BANK_TRANSACTIONS!$F$5:$F$168,04_BANK_TRANSACTIONS!$C$5:$C$168,A51,04_BANK_TRANSACTIONS!$G$5:$G$168,"entrada",04_BANK_TRANSACTIONS!$K$5:$K$168,"PENDENTE")</f>
        <v>0</v>
      </c>
      <c r="E51" s="11" t="n">
        <f aca="false">SUMIFS(04_BANK_TRANSACTIONS!$O$5:$O$168,04_BANK_TRANSACTIONS!$C$5:$C$168,A51)</f>
        <v>0</v>
      </c>
      <c r="F51" s="11" t="n">
        <f aca="false">SUMIFS(04_BANK_TRANSACTIONS!$P$5:$P$168,04_BANK_TRANSACTIONS!$C$5:$C$168,A51)</f>
        <v>0</v>
      </c>
      <c r="G51" s="11" t="n">
        <f aca="false">SUMIFS(04_BANK_TRANSACTIONS!$Q$5:$Q$168,04_BANK_TRANSACTIONS!$C$5:$C$168,A51)</f>
        <v>0</v>
      </c>
      <c r="H51" s="11" t="n">
        <f aca="false">SUMIFS(04_BANK_TRANSACTIONS!$R$5:$R$168,04_BANK_TRANSACTIONS!$C$5:$C$168,A51)</f>
        <v>0</v>
      </c>
      <c r="I51" s="10" t="s">
        <v>470</v>
      </c>
    </row>
    <row r="52" customFormat="false" ht="22.35" hidden="false" customHeight="false" outlineLevel="0" collapsed="false">
      <c r="A52" s="10" t="n">
        <v>2021</v>
      </c>
      <c r="B52" s="10" t="n">
        <v>0</v>
      </c>
      <c r="C52" s="11" t="n">
        <f aca="false">SUMIFS(04_BANK_TRANSACTIONS!$F$5:$F$168,04_BANK_TRANSACTIONS!$C$5:$C$168,A52,04_BANK_TRANSACTIONS!$G$5:$G$168,"entrada")</f>
        <v>0</v>
      </c>
      <c r="D52" s="11" t="n">
        <f aca="false">SUMIFS(04_BANK_TRANSACTIONS!$F$5:$F$168,04_BANK_TRANSACTIONS!$C$5:$C$168,A52,04_BANK_TRANSACTIONS!$G$5:$G$168,"entrada",04_BANK_TRANSACTIONS!$K$5:$K$168,"PENDENTE")</f>
        <v>0</v>
      </c>
      <c r="E52" s="11" t="n">
        <f aca="false">SUMIFS(04_BANK_TRANSACTIONS!$O$5:$O$168,04_BANK_TRANSACTIONS!$C$5:$C$168,A52)</f>
        <v>0</v>
      </c>
      <c r="F52" s="11" t="n">
        <f aca="false">SUMIFS(04_BANK_TRANSACTIONS!$P$5:$P$168,04_BANK_TRANSACTIONS!$C$5:$C$168,A52)</f>
        <v>0</v>
      </c>
      <c r="G52" s="11" t="n">
        <f aca="false">SUMIFS(04_BANK_TRANSACTIONS!$Q$5:$Q$168,04_BANK_TRANSACTIONS!$C$5:$C$168,A52)</f>
        <v>0</v>
      </c>
      <c r="H52" s="11" t="n">
        <f aca="false">SUMIFS(04_BANK_TRANSACTIONS!$R$5:$R$168,04_BANK_TRANSACTIONS!$C$5:$C$168,A52)</f>
        <v>0</v>
      </c>
      <c r="I52" s="10" t="s">
        <v>470</v>
      </c>
    </row>
    <row r="53" customFormat="false" ht="22.35" hidden="false" customHeight="false" outlineLevel="0" collapsed="false">
      <c r="A53" s="10" t="n">
        <v>2022</v>
      </c>
      <c r="B53" s="10" t="n">
        <v>0</v>
      </c>
      <c r="C53" s="11" t="n">
        <f aca="false">SUMIFS(04_BANK_TRANSACTIONS!$F$5:$F$168,04_BANK_TRANSACTIONS!$C$5:$C$168,A53,04_BANK_TRANSACTIONS!$G$5:$G$168,"entrada")</f>
        <v>0</v>
      </c>
      <c r="D53" s="11" t="n">
        <f aca="false">SUMIFS(04_BANK_TRANSACTIONS!$F$5:$F$168,04_BANK_TRANSACTIONS!$C$5:$C$168,A53,04_BANK_TRANSACTIONS!$G$5:$G$168,"entrada",04_BANK_TRANSACTIONS!$K$5:$K$168,"PENDENTE")</f>
        <v>0</v>
      </c>
      <c r="E53" s="11" t="n">
        <f aca="false">SUMIFS(04_BANK_TRANSACTIONS!$O$5:$O$168,04_BANK_TRANSACTIONS!$C$5:$C$168,A53)</f>
        <v>0</v>
      </c>
      <c r="F53" s="11" t="n">
        <f aca="false">SUMIFS(04_BANK_TRANSACTIONS!$P$5:$P$168,04_BANK_TRANSACTIONS!$C$5:$C$168,A53)</f>
        <v>0</v>
      </c>
      <c r="G53" s="11" t="n">
        <f aca="false">SUMIFS(04_BANK_TRANSACTIONS!$Q$5:$Q$168,04_BANK_TRANSACTIONS!$C$5:$C$168,A53)</f>
        <v>0</v>
      </c>
      <c r="H53" s="11" t="n">
        <f aca="false">SUMIFS(04_BANK_TRANSACTIONS!$R$5:$R$168,04_BANK_TRANSACTIONS!$C$5:$C$168,A53)</f>
        <v>0</v>
      </c>
      <c r="I53" s="10" t="s">
        <v>470</v>
      </c>
    </row>
    <row r="54" customFormat="false" ht="22.35" hidden="false" customHeight="false" outlineLevel="0" collapsed="false">
      <c r="A54" s="10" t="n">
        <v>2023</v>
      </c>
      <c r="B54" s="10" t="n">
        <v>0</v>
      </c>
      <c r="C54" s="11" t="n">
        <f aca="false">SUMIFS(04_BANK_TRANSACTIONS!$F$5:$F$168,04_BANK_TRANSACTIONS!$C$5:$C$168,A54,04_BANK_TRANSACTIONS!$G$5:$G$168,"entrada")</f>
        <v>0</v>
      </c>
      <c r="D54" s="11" t="n">
        <f aca="false">SUMIFS(04_BANK_TRANSACTIONS!$F$5:$F$168,04_BANK_TRANSACTIONS!$C$5:$C$168,A54,04_BANK_TRANSACTIONS!$G$5:$G$168,"entrada",04_BANK_TRANSACTIONS!$K$5:$K$168,"PENDENTE")</f>
        <v>0</v>
      </c>
      <c r="E54" s="11" t="n">
        <f aca="false">SUMIFS(04_BANK_TRANSACTIONS!$O$5:$O$168,04_BANK_TRANSACTIONS!$C$5:$C$168,A54)</f>
        <v>0</v>
      </c>
      <c r="F54" s="11" t="n">
        <f aca="false">SUMIFS(04_BANK_TRANSACTIONS!$P$5:$P$168,04_BANK_TRANSACTIONS!$C$5:$C$168,A54)</f>
        <v>0</v>
      </c>
      <c r="G54" s="11" t="n">
        <f aca="false">SUMIFS(04_BANK_TRANSACTIONS!$Q$5:$Q$168,04_BANK_TRANSACTIONS!$C$5:$C$168,A54)</f>
        <v>0</v>
      </c>
      <c r="H54" s="11" t="n">
        <f aca="false">SUMIFS(04_BANK_TRANSACTIONS!$R$5:$R$168,04_BANK_TRANSACTIONS!$C$5:$C$168,A54)</f>
        <v>0</v>
      </c>
      <c r="I54" s="10" t="s">
        <v>470</v>
      </c>
    </row>
    <row r="55" customFormat="false" ht="15" hidden="false" customHeight="false" outlineLevel="0" collapsed="false">
      <c r="A55" s="10" t="n">
        <v>2024</v>
      </c>
      <c r="B55" s="10" t="n">
        <v>0</v>
      </c>
      <c r="C55" s="11" t="n">
        <f aca="false">SUMIFS(04_BANK_TRANSACTIONS!$F$5:$F$168,04_BANK_TRANSACTIONS!$C$5:$C$168,A55,04_BANK_TRANSACTIONS!$G$5:$G$168,"entrada")</f>
        <v>89125</v>
      </c>
      <c r="D55" s="11" t="n">
        <f aca="false">SUMIFS(04_BANK_TRANSACTIONS!$F$5:$F$168,04_BANK_TRANSACTIONS!$C$5:$C$168,A55,04_BANK_TRANSACTIONS!$G$5:$G$168,"entrada",04_BANK_TRANSACTIONS!$K$5:$K$168,"PENDENTE")</f>
        <v>47450</v>
      </c>
      <c r="E55" s="11" t="n">
        <f aca="false">SUMIFS(04_BANK_TRANSACTIONS!$O$5:$O$168,04_BANK_TRANSACTIONS!$C$5:$C$168,A55)</f>
        <v>0</v>
      </c>
      <c r="F55" s="11" t="n">
        <f aca="false">SUMIFS(04_BANK_TRANSACTIONS!$P$5:$P$168,04_BANK_TRANSACTIONS!$C$5:$C$168,A55)</f>
        <v>0</v>
      </c>
      <c r="G55" s="11" t="n">
        <f aca="false">SUMIFS(04_BANK_TRANSACTIONS!$Q$5:$Q$168,04_BANK_TRANSACTIONS!$C$5:$C$168,A55)</f>
        <v>7117.5</v>
      </c>
      <c r="H55" s="11" t="n">
        <f aca="false">SUMIFS(04_BANK_TRANSACTIONS!$R$5:$R$168,04_BANK_TRANSACTIONS!$C$5:$C$168,A55)</f>
        <v>11862.5</v>
      </c>
      <c r="I55" s="10" t="s">
        <v>471</v>
      </c>
    </row>
    <row r="56" customFormat="false" ht="15" hidden="false" customHeight="false" outlineLevel="0" collapsed="false">
      <c r="A56" s="10" t="n">
        <v>2025</v>
      </c>
      <c r="B56" s="10" t="n">
        <v>0</v>
      </c>
      <c r="C56" s="11" t="n">
        <f aca="false">SUMIFS(04_BANK_TRANSACTIONS!$F$5:$F$168,04_BANK_TRANSACTIONS!$C$5:$C$168,A56,04_BANK_TRANSACTIONS!$G$5:$G$168,"entrada")</f>
        <v>876334.05</v>
      </c>
      <c r="D56" s="11" t="n">
        <f aca="false">SUMIFS(04_BANK_TRANSACTIONS!$F$5:$F$168,04_BANK_TRANSACTIONS!$C$5:$C$168,A56,04_BANK_TRANSACTIONS!$G$5:$G$168,"entrada",04_BANK_TRANSACTIONS!$K$5:$K$168,"PENDENTE")</f>
        <v>568060</v>
      </c>
      <c r="E56" s="11" t="n">
        <f aca="false">SUMIFS(04_BANK_TRANSACTIONS!$O$5:$O$168,04_BANK_TRANSACTIONS!$C$5:$C$168,A56)</f>
        <v>0</v>
      </c>
      <c r="F56" s="11" t="n">
        <f aca="false">SUMIFS(04_BANK_TRANSACTIONS!$P$5:$P$168,04_BANK_TRANSACTIONS!$C$5:$C$168,A56)</f>
        <v>0</v>
      </c>
      <c r="G56" s="11" t="n">
        <f aca="false">SUMIFS(04_BANK_TRANSACTIONS!$Q$5:$Q$168,04_BANK_TRANSACTIONS!$C$5:$C$168,A56)</f>
        <v>85209</v>
      </c>
      <c r="H56" s="11" t="n">
        <f aca="false">SUMIFS(04_BANK_TRANSACTIONS!$R$5:$R$168,04_BANK_TRANSACTIONS!$C$5:$C$168,A56)</f>
        <v>142015</v>
      </c>
      <c r="I56" s="10" t="s">
        <v>472</v>
      </c>
    </row>
    <row r="57" customFormat="false" ht="15" hidden="false" customHeight="false" outlineLevel="0" collapsed="false">
      <c r="A57" s="10" t="n">
        <v>2026</v>
      </c>
      <c r="B57" s="10" t="n">
        <v>0</v>
      </c>
      <c r="C57" s="11" t="n">
        <f aca="false">SUMIFS(04_BANK_TRANSACTIONS!$F$5:$F$168,04_BANK_TRANSACTIONS!$C$5:$C$168,A57,04_BANK_TRANSACTIONS!$G$5:$G$168,"entrada")</f>
        <v>16400.06</v>
      </c>
      <c r="D57" s="11" t="n">
        <f aca="false">SUMIFS(04_BANK_TRANSACTIONS!$F$5:$F$168,04_BANK_TRANSACTIONS!$C$5:$C$168,A57,04_BANK_TRANSACTIONS!$G$5:$G$168,"entrada",04_BANK_TRANSACTIONS!$K$5:$K$168,"PENDENTE")</f>
        <v>8000</v>
      </c>
      <c r="E57" s="11" t="n">
        <f aca="false">SUMIFS(04_BANK_TRANSACTIONS!$O$5:$O$168,04_BANK_TRANSACTIONS!$C$5:$C$168,A57)</f>
        <v>0</v>
      </c>
      <c r="F57" s="11" t="n">
        <f aca="false">SUMIFS(04_BANK_TRANSACTIONS!$P$5:$P$168,04_BANK_TRANSACTIONS!$C$5:$C$168,A57)</f>
        <v>0</v>
      </c>
      <c r="G57" s="11" t="n">
        <f aca="false">SUMIFS(04_BANK_TRANSACTIONS!$Q$5:$Q$168,04_BANK_TRANSACTIONS!$C$5:$C$168,A57)</f>
        <v>1200</v>
      </c>
      <c r="H57" s="11" t="n">
        <f aca="false">SUMIFS(04_BANK_TRANSACTIONS!$R$5:$R$168,04_BANK_TRANSACTIONS!$C$5:$C$168,A57)</f>
        <v>2000</v>
      </c>
      <c r="I57" s="10" t="s">
        <v>473</v>
      </c>
    </row>
    <row r="58" customFormat="false" ht="15" hidden="false" customHeight="false" outlineLevel="0" collapsed="false">
      <c r="A58" s="12" t="s">
        <v>29</v>
      </c>
      <c r="C58" s="14" t="n">
        <f aca="false">SUM(C50:C57)</f>
        <v>981859.11</v>
      </c>
      <c r="D58" s="14" t="n">
        <f aca="false">SUM(D50:D57)</f>
        <v>623510</v>
      </c>
      <c r="E58" s="14" t="n">
        <f aca="false">SUM(E50:E57)</f>
        <v>0</v>
      </c>
      <c r="F58" s="14" t="n">
        <f aca="false">SUM(F50:F57)</f>
        <v>0</v>
      </c>
      <c r="G58" s="14" t="n">
        <f aca="false">SUM(G50:G57)</f>
        <v>93526.5</v>
      </c>
      <c r="H58" s="14" t="n">
        <f aca="false">SUM(H50:H57)</f>
        <v>155877.5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46"/>
  </cols>
  <sheetData>
    <row r="1" customFormat="false" ht="15" hidden="false" customHeight="false" outlineLevel="0" collapsed="false">
      <c r="A1" s="6" t="s">
        <v>474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7" t="str">
        <f aca="false">"Data-base: "&amp;TEXT(00_PARAMETROS!$B$4,"DD/MM/YYYY")&amp;" | Juros = SELIC acumulada (mês seguinte ao vencimento → mês anterior ao pagamento) + 1% | Multa de mora 0,33%/dia, teto 20% (pagamento espontâneo)"</f>
        <v>Data-base: 30/09/2026 | Juros = SELIC acumulada (mês seguinte ao vencimento → mês anterior ao pagamento) + 1% | Multa de mora 0,33%/dia, teto 20% (pagamento espontâneo)</v>
      </c>
    </row>
    <row r="5" customFormat="false" ht="30" hidden="false" customHeight="true" outlineLevel="0" collapsed="false">
      <c r="A5" s="9" t="s">
        <v>475</v>
      </c>
      <c r="B5" s="9" t="s">
        <v>476</v>
      </c>
      <c r="C5" s="9" t="s">
        <v>477</v>
      </c>
      <c r="D5" s="9" t="s">
        <v>478</v>
      </c>
      <c r="E5" s="9" t="s">
        <v>479</v>
      </c>
      <c r="F5" s="9" t="s">
        <v>480</v>
      </c>
      <c r="G5" s="9" t="s">
        <v>481</v>
      </c>
      <c r="H5" s="9" t="s">
        <v>482</v>
      </c>
      <c r="I5" s="9" t="s">
        <v>483</v>
      </c>
      <c r="J5" s="9" t="s">
        <v>484</v>
      </c>
      <c r="K5" s="9" t="s">
        <v>485</v>
      </c>
      <c r="L5" s="9" t="s">
        <v>486</v>
      </c>
      <c r="M5" s="9" t="s">
        <v>398</v>
      </c>
    </row>
    <row r="6" customFormat="false" ht="32.8" hidden="false" customHeight="false" outlineLevel="0" collapsed="false">
      <c r="A6" s="10" t="s">
        <v>487</v>
      </c>
      <c r="B6" s="11" t="n">
        <f aca="false">07_BRAZIL_TAX_CALCULATION!B33</f>
        <v>10434.74</v>
      </c>
      <c r="C6" s="19" t="n">
        <v>43585</v>
      </c>
      <c r="D6" s="19" t="n">
        <f aca="false">02_TAX_TIMELINE!F7</f>
        <v>45657</v>
      </c>
      <c r="E6" s="10" t="str">
        <f aca="false">IF(00_PARAMETROS!$B$4&gt;D6,"NÃO","SIM")</f>
        <v>NÃO</v>
      </c>
      <c r="F6" s="24" t="n">
        <f aca="false">SUMIFS(SELIC!$B$4:$B$96,SELIC!$A$4:$A$96,"&gt;="&amp;DATE(YEAR(C6),MONTH(C6)+1,1),SELIC!$A$4:$A$96,"&lt;="&amp;DATE(YEAR(00_PARAMETROS!$B$4),MONTH(00_PARAMETROS!$B$4)-1,1))+00_PARAMETROS!$B$11</f>
        <v>0.6869</v>
      </c>
      <c r="G6" s="24" t="n">
        <f aca="false">MIN(00_PARAMETROS!$B$9,00_PARAMETROS!$B$8*MAX(0,00_PARAMETROS!$B$4-C6))</f>
        <v>0.2</v>
      </c>
      <c r="H6" s="11" t="n">
        <f aca="false">ROUND(B6*F6,2)</f>
        <v>7167.62</v>
      </c>
      <c r="I6" s="11" t="n">
        <f aca="false">ROUND(B6*G6,2)</f>
        <v>2086.95</v>
      </c>
      <c r="J6" s="11" t="n">
        <f aca="false">B6+H6+I6</f>
        <v>19689.31</v>
      </c>
      <c r="K6" s="11" t="n">
        <f aca="false">IF(E6="SIM",J6,0)</f>
        <v>0</v>
      </c>
      <c r="L6" s="10" t="s">
        <v>488</v>
      </c>
      <c r="M6" s="10" t="s">
        <v>489</v>
      </c>
    </row>
    <row r="7" customFormat="false" ht="32.8" hidden="false" customHeight="false" outlineLevel="0" collapsed="false">
      <c r="A7" s="10" t="s">
        <v>490</v>
      </c>
      <c r="B7" s="11" t="n">
        <f aca="false">07_BRAZIL_TAX_CALCULATION!B46</f>
        <v>165.74</v>
      </c>
      <c r="C7" s="19" t="n">
        <v>44013</v>
      </c>
      <c r="D7" s="19" t="n">
        <f aca="false">02_TAX_TIMELINE!F8</f>
        <v>46022</v>
      </c>
      <c r="E7" s="10" t="str">
        <f aca="false">IF(00_PARAMETROS!$B$4&gt;D7,"NÃO","SIM")</f>
        <v>NÃO</v>
      </c>
      <c r="F7" s="24" t="n">
        <f aca="false">0</f>
        <v>0</v>
      </c>
      <c r="G7" s="24" t="n">
        <f aca="false">0</f>
        <v>0</v>
      </c>
      <c r="H7" s="11" t="n">
        <f aca="false">ROUND(B7*F7,2)</f>
        <v>0</v>
      </c>
      <c r="I7" s="11" t="n">
        <f aca="false">ROUND(B7*G7,2)</f>
        <v>0</v>
      </c>
      <c r="J7" s="11" t="n">
        <f aca="false">B7+H7+I7</f>
        <v>165.74</v>
      </c>
      <c r="K7" s="11" t="n">
        <f aca="false">IF(E7="SIM",J7,0)</f>
        <v>0</v>
      </c>
      <c r="L7" s="10" t="s">
        <v>488</v>
      </c>
      <c r="M7" s="10" t="s">
        <v>491</v>
      </c>
    </row>
    <row r="8" customFormat="false" ht="43.25" hidden="false" customHeight="false" outlineLevel="0" collapsed="false">
      <c r="A8" s="10" t="s">
        <v>492</v>
      </c>
      <c r="B8" s="11" t="n">
        <f aca="false">SUMIFS(04_BANK_TRANSACTIONS!$P$5:$P$168,04_BANK_TRANSACTIONS!$C$5:$C$168,2019)</f>
        <v>0</v>
      </c>
      <c r="C8" s="10" t="s">
        <v>493</v>
      </c>
      <c r="D8" s="19" t="n">
        <f aca="false">DATE(2019+5,12,31)</f>
        <v>45657</v>
      </c>
      <c r="E8" s="10" t="str">
        <f aca="false">IF(00_PARAMETROS!$B$4&gt;D8,"NÃO","SIM")</f>
        <v>NÃO</v>
      </c>
      <c r="F8" s="10"/>
      <c r="G8" s="10"/>
      <c r="H8" s="10"/>
      <c r="I8" s="10"/>
      <c r="J8" s="11" t="n">
        <f aca="false">SUMIFS(04_BANK_TRANSACTIONS!$U$5:$U$168,04_BANK_TRANSACTIONS!$C$5:$C$168,2019)</f>
        <v>0</v>
      </c>
      <c r="K8" s="11" t="n">
        <f aca="false">IF(E8="SIM",J8,0)</f>
        <v>0</v>
      </c>
      <c r="L8" s="10" t="s">
        <v>494</v>
      </c>
      <c r="M8" s="10" t="s">
        <v>495</v>
      </c>
    </row>
    <row r="9" customFormat="false" ht="43.25" hidden="false" customHeight="false" outlineLevel="0" collapsed="false">
      <c r="A9" s="10" t="s">
        <v>496</v>
      </c>
      <c r="B9" s="11" t="n">
        <f aca="false">SUMIFS(04_BANK_TRANSACTIONS!$Q$5:$Q$168,04_BANK_TRANSACTIONS!$C$5:$C$168,2019)</f>
        <v>0</v>
      </c>
      <c r="C9" s="10" t="s">
        <v>493</v>
      </c>
      <c r="D9" s="19" t="n">
        <f aca="false">DATE(2019+5,12,31)</f>
        <v>45657</v>
      </c>
      <c r="E9" s="10" t="str">
        <f aca="false">IF(00_PARAMETROS!$B$4&gt;D9,"NÃO","SIM")</f>
        <v>NÃO</v>
      </c>
      <c r="F9" s="10"/>
      <c r="G9" s="10"/>
      <c r="H9" s="10"/>
      <c r="I9" s="10"/>
      <c r="J9" s="11" t="n">
        <f aca="false">SUMIFS(04_BANK_TRANSACTIONS!$V$5:$V$168,04_BANK_TRANSACTIONS!$C$5:$C$168,2019)</f>
        <v>0</v>
      </c>
      <c r="K9" s="11" t="n">
        <v>0</v>
      </c>
      <c r="L9" s="10" t="s">
        <v>494</v>
      </c>
      <c r="M9" s="10" t="s">
        <v>497</v>
      </c>
    </row>
    <row r="10" customFormat="false" ht="43.25" hidden="false" customHeight="false" outlineLevel="0" collapsed="false">
      <c r="A10" s="10" t="s">
        <v>498</v>
      </c>
      <c r="B10" s="11" t="n">
        <f aca="false">SUMIFS(04_BANK_TRANSACTIONS!$R$5:$R$168,04_BANK_TRANSACTIONS!$C$5:$C$168,2019)</f>
        <v>0</v>
      </c>
      <c r="C10" s="10" t="s">
        <v>493</v>
      </c>
      <c r="D10" s="19" t="n">
        <f aca="false">DATE(2019+5,12,31)</f>
        <v>45657</v>
      </c>
      <c r="E10" s="10" t="str">
        <f aca="false">IF(00_PARAMETROS!$B$4&gt;D10,"NÃO","SIM")</f>
        <v>NÃO</v>
      </c>
      <c r="F10" s="10"/>
      <c r="G10" s="10"/>
      <c r="H10" s="10"/>
      <c r="I10" s="10"/>
      <c r="J10" s="11" t="n">
        <f aca="false">SUMIFS(04_BANK_TRANSACTIONS!$W$5:$W$168,04_BANK_TRANSACTIONS!$C$5:$C$168,2019)</f>
        <v>0</v>
      </c>
      <c r="K10" s="11" t="n">
        <v>0</v>
      </c>
      <c r="L10" s="10" t="s">
        <v>494</v>
      </c>
      <c r="M10" s="10" t="s">
        <v>497</v>
      </c>
    </row>
    <row r="11" customFormat="false" ht="43.25" hidden="false" customHeight="false" outlineLevel="0" collapsed="false">
      <c r="A11" s="10" t="s">
        <v>499</v>
      </c>
      <c r="B11" s="11" t="n">
        <f aca="false">SUMIFS(04_BANK_TRANSACTIONS!$P$5:$P$168,04_BANK_TRANSACTIONS!$C$5:$C$168,2020)</f>
        <v>0</v>
      </c>
      <c r="C11" s="10" t="s">
        <v>493</v>
      </c>
      <c r="D11" s="19" t="n">
        <f aca="false">DATE(2020+5,12,31)</f>
        <v>46022</v>
      </c>
      <c r="E11" s="10" t="str">
        <f aca="false">IF(00_PARAMETROS!$B$4&gt;D11,"NÃO","SIM")</f>
        <v>NÃO</v>
      </c>
      <c r="F11" s="10"/>
      <c r="G11" s="10"/>
      <c r="H11" s="10"/>
      <c r="I11" s="10"/>
      <c r="J11" s="11" t="n">
        <f aca="false">SUMIFS(04_BANK_TRANSACTIONS!$U$5:$U$168,04_BANK_TRANSACTIONS!$C$5:$C$168,2020)</f>
        <v>0</v>
      </c>
      <c r="K11" s="11" t="n">
        <f aca="false">IF(E11="SIM",J11,0)</f>
        <v>0</v>
      </c>
      <c r="L11" s="10" t="s">
        <v>494</v>
      </c>
      <c r="M11" s="10" t="s">
        <v>495</v>
      </c>
    </row>
    <row r="12" customFormat="false" ht="43.25" hidden="false" customHeight="false" outlineLevel="0" collapsed="false">
      <c r="A12" s="10" t="s">
        <v>500</v>
      </c>
      <c r="B12" s="11" t="n">
        <f aca="false">SUMIFS(04_BANK_TRANSACTIONS!$Q$5:$Q$168,04_BANK_TRANSACTIONS!$C$5:$C$168,2020)</f>
        <v>0</v>
      </c>
      <c r="C12" s="10" t="s">
        <v>493</v>
      </c>
      <c r="D12" s="19" t="n">
        <f aca="false">DATE(2020+5,12,31)</f>
        <v>46022</v>
      </c>
      <c r="E12" s="10" t="str">
        <f aca="false">IF(00_PARAMETROS!$B$4&gt;D12,"NÃO","SIM")</f>
        <v>NÃO</v>
      </c>
      <c r="F12" s="10"/>
      <c r="G12" s="10"/>
      <c r="H12" s="10"/>
      <c r="I12" s="10"/>
      <c r="J12" s="11" t="n">
        <f aca="false">SUMIFS(04_BANK_TRANSACTIONS!$V$5:$V$168,04_BANK_TRANSACTIONS!$C$5:$C$168,2020)</f>
        <v>0</v>
      </c>
      <c r="K12" s="11" t="n">
        <v>0</v>
      </c>
      <c r="L12" s="10" t="s">
        <v>494</v>
      </c>
      <c r="M12" s="10" t="s">
        <v>497</v>
      </c>
    </row>
    <row r="13" customFormat="false" ht="43.25" hidden="false" customHeight="false" outlineLevel="0" collapsed="false">
      <c r="A13" s="10" t="s">
        <v>501</v>
      </c>
      <c r="B13" s="11" t="n">
        <f aca="false">SUMIFS(04_BANK_TRANSACTIONS!$R$5:$R$168,04_BANK_TRANSACTIONS!$C$5:$C$168,2020)</f>
        <v>0</v>
      </c>
      <c r="C13" s="10" t="s">
        <v>493</v>
      </c>
      <c r="D13" s="19" t="n">
        <f aca="false">DATE(2020+5,12,31)</f>
        <v>46022</v>
      </c>
      <c r="E13" s="10" t="str">
        <f aca="false">IF(00_PARAMETROS!$B$4&gt;D13,"NÃO","SIM")</f>
        <v>NÃO</v>
      </c>
      <c r="F13" s="10"/>
      <c r="G13" s="10"/>
      <c r="H13" s="10"/>
      <c r="I13" s="10"/>
      <c r="J13" s="11" t="n">
        <f aca="false">SUMIFS(04_BANK_TRANSACTIONS!$W$5:$W$168,04_BANK_TRANSACTIONS!$C$5:$C$168,2020)</f>
        <v>0</v>
      </c>
      <c r="K13" s="11" t="n">
        <v>0</v>
      </c>
      <c r="L13" s="10" t="s">
        <v>494</v>
      </c>
      <c r="M13" s="10" t="s">
        <v>497</v>
      </c>
    </row>
    <row r="14" customFormat="false" ht="43.25" hidden="false" customHeight="false" outlineLevel="0" collapsed="false">
      <c r="A14" s="10" t="s">
        <v>502</v>
      </c>
      <c r="B14" s="11" t="n">
        <f aca="false">SUMIFS(04_BANK_TRANSACTIONS!$P$5:$P$168,04_BANK_TRANSACTIONS!$C$5:$C$168,2021)</f>
        <v>0</v>
      </c>
      <c r="C14" s="10" t="s">
        <v>493</v>
      </c>
      <c r="D14" s="19" t="n">
        <f aca="false">DATE(2021+5,12,31)</f>
        <v>46387</v>
      </c>
      <c r="E14" s="10" t="str">
        <f aca="false">IF(00_PARAMETROS!$B$4&gt;D14,"NÃO","SIM")</f>
        <v>SIM</v>
      </c>
      <c r="F14" s="10"/>
      <c r="G14" s="10"/>
      <c r="H14" s="10"/>
      <c r="I14" s="10"/>
      <c r="J14" s="11" t="n">
        <f aca="false">SUMIFS(04_BANK_TRANSACTIONS!$U$5:$U$168,04_BANK_TRANSACTIONS!$C$5:$C$168,2021)</f>
        <v>0</v>
      </c>
      <c r="K14" s="11" t="n">
        <f aca="false">IF(E14="SIM",J14,0)</f>
        <v>0</v>
      </c>
      <c r="L14" s="10" t="s">
        <v>494</v>
      </c>
      <c r="M14" s="10" t="s">
        <v>495</v>
      </c>
    </row>
    <row r="15" customFormat="false" ht="43.25" hidden="false" customHeight="false" outlineLevel="0" collapsed="false">
      <c r="A15" s="10" t="s">
        <v>503</v>
      </c>
      <c r="B15" s="11" t="n">
        <f aca="false">SUMIFS(04_BANK_TRANSACTIONS!$Q$5:$Q$168,04_BANK_TRANSACTIONS!$C$5:$C$168,2021)</f>
        <v>0</v>
      </c>
      <c r="C15" s="10" t="s">
        <v>493</v>
      </c>
      <c r="D15" s="19" t="n">
        <f aca="false">DATE(2021+5,12,31)</f>
        <v>46387</v>
      </c>
      <c r="E15" s="10" t="str">
        <f aca="false">IF(00_PARAMETROS!$B$4&gt;D15,"NÃO","SIM")</f>
        <v>SIM</v>
      </c>
      <c r="F15" s="10"/>
      <c r="G15" s="10"/>
      <c r="H15" s="10"/>
      <c r="I15" s="10"/>
      <c r="J15" s="11" t="n">
        <f aca="false">SUMIFS(04_BANK_TRANSACTIONS!$V$5:$V$168,04_BANK_TRANSACTIONS!$C$5:$C$168,2021)</f>
        <v>0</v>
      </c>
      <c r="K15" s="11" t="n">
        <v>0</v>
      </c>
      <c r="L15" s="10" t="s">
        <v>494</v>
      </c>
      <c r="M15" s="10" t="s">
        <v>497</v>
      </c>
    </row>
    <row r="16" customFormat="false" ht="43.25" hidden="false" customHeight="false" outlineLevel="0" collapsed="false">
      <c r="A16" s="10" t="s">
        <v>504</v>
      </c>
      <c r="B16" s="11" t="n">
        <f aca="false">SUMIFS(04_BANK_TRANSACTIONS!$R$5:$R$168,04_BANK_TRANSACTIONS!$C$5:$C$168,2021)</f>
        <v>0</v>
      </c>
      <c r="C16" s="10" t="s">
        <v>493</v>
      </c>
      <c r="D16" s="19" t="n">
        <f aca="false">DATE(2021+5,12,31)</f>
        <v>46387</v>
      </c>
      <c r="E16" s="10" t="str">
        <f aca="false">IF(00_PARAMETROS!$B$4&gt;D16,"NÃO","SIM")</f>
        <v>SIM</v>
      </c>
      <c r="F16" s="10"/>
      <c r="G16" s="10"/>
      <c r="H16" s="10"/>
      <c r="I16" s="10"/>
      <c r="J16" s="11" t="n">
        <f aca="false">SUMIFS(04_BANK_TRANSACTIONS!$W$5:$W$168,04_BANK_TRANSACTIONS!$C$5:$C$168,2021)</f>
        <v>0</v>
      </c>
      <c r="K16" s="11" t="n">
        <v>0</v>
      </c>
      <c r="L16" s="10" t="s">
        <v>494</v>
      </c>
      <c r="M16" s="10" t="s">
        <v>497</v>
      </c>
    </row>
    <row r="17" customFormat="false" ht="43.25" hidden="false" customHeight="false" outlineLevel="0" collapsed="false">
      <c r="A17" s="10" t="s">
        <v>505</v>
      </c>
      <c r="B17" s="11" t="n">
        <f aca="false">SUMIFS(04_BANK_TRANSACTIONS!$P$5:$P$168,04_BANK_TRANSACTIONS!$C$5:$C$168,2022)</f>
        <v>0</v>
      </c>
      <c r="C17" s="10" t="s">
        <v>493</v>
      </c>
      <c r="D17" s="19" t="n">
        <f aca="false">DATE(2022+5,12,31)</f>
        <v>46752</v>
      </c>
      <c r="E17" s="10" t="str">
        <f aca="false">IF(00_PARAMETROS!$B$4&gt;D17,"NÃO","SIM")</f>
        <v>SIM</v>
      </c>
      <c r="F17" s="10"/>
      <c r="G17" s="10"/>
      <c r="H17" s="10"/>
      <c r="I17" s="10"/>
      <c r="J17" s="11" t="n">
        <f aca="false">SUMIFS(04_BANK_TRANSACTIONS!$U$5:$U$168,04_BANK_TRANSACTIONS!$C$5:$C$168,2022)</f>
        <v>0</v>
      </c>
      <c r="K17" s="11" t="n">
        <f aca="false">IF(E17="SIM",J17,0)</f>
        <v>0</v>
      </c>
      <c r="L17" s="10" t="s">
        <v>494</v>
      </c>
      <c r="M17" s="10" t="s">
        <v>495</v>
      </c>
    </row>
    <row r="18" customFormat="false" ht="43.25" hidden="false" customHeight="false" outlineLevel="0" collapsed="false">
      <c r="A18" s="10" t="s">
        <v>506</v>
      </c>
      <c r="B18" s="11" t="n">
        <f aca="false">SUMIFS(04_BANK_TRANSACTIONS!$Q$5:$Q$168,04_BANK_TRANSACTIONS!$C$5:$C$168,2022)</f>
        <v>0</v>
      </c>
      <c r="C18" s="10" t="s">
        <v>493</v>
      </c>
      <c r="D18" s="19" t="n">
        <f aca="false">DATE(2022+5,12,31)</f>
        <v>46752</v>
      </c>
      <c r="E18" s="10" t="str">
        <f aca="false">IF(00_PARAMETROS!$B$4&gt;D18,"NÃO","SIM")</f>
        <v>SIM</v>
      </c>
      <c r="F18" s="10"/>
      <c r="G18" s="10"/>
      <c r="H18" s="10"/>
      <c r="I18" s="10"/>
      <c r="J18" s="11" t="n">
        <f aca="false">SUMIFS(04_BANK_TRANSACTIONS!$V$5:$V$168,04_BANK_TRANSACTIONS!$C$5:$C$168,2022)</f>
        <v>0</v>
      </c>
      <c r="K18" s="11" t="n">
        <v>0</v>
      </c>
      <c r="L18" s="10" t="s">
        <v>494</v>
      </c>
      <c r="M18" s="10" t="s">
        <v>497</v>
      </c>
    </row>
    <row r="19" customFormat="false" ht="43.25" hidden="false" customHeight="false" outlineLevel="0" collapsed="false">
      <c r="A19" s="10" t="s">
        <v>507</v>
      </c>
      <c r="B19" s="11" t="n">
        <f aca="false">SUMIFS(04_BANK_TRANSACTIONS!$R$5:$R$168,04_BANK_TRANSACTIONS!$C$5:$C$168,2022)</f>
        <v>0</v>
      </c>
      <c r="C19" s="10" t="s">
        <v>493</v>
      </c>
      <c r="D19" s="19" t="n">
        <f aca="false">DATE(2022+5,12,31)</f>
        <v>46752</v>
      </c>
      <c r="E19" s="10" t="str">
        <f aca="false">IF(00_PARAMETROS!$B$4&gt;D19,"NÃO","SIM")</f>
        <v>SIM</v>
      </c>
      <c r="F19" s="10"/>
      <c r="G19" s="10"/>
      <c r="H19" s="10"/>
      <c r="I19" s="10"/>
      <c r="J19" s="11" t="n">
        <f aca="false">SUMIFS(04_BANK_TRANSACTIONS!$W$5:$W$168,04_BANK_TRANSACTIONS!$C$5:$C$168,2022)</f>
        <v>0</v>
      </c>
      <c r="K19" s="11" t="n">
        <v>0</v>
      </c>
      <c r="L19" s="10" t="s">
        <v>494</v>
      </c>
      <c r="M19" s="10" t="s">
        <v>497</v>
      </c>
    </row>
    <row r="20" customFormat="false" ht="43.25" hidden="false" customHeight="false" outlineLevel="0" collapsed="false">
      <c r="A20" s="10" t="s">
        <v>508</v>
      </c>
      <c r="B20" s="11" t="n">
        <f aca="false">SUMIFS(04_BANK_TRANSACTIONS!$P$5:$P$168,04_BANK_TRANSACTIONS!$C$5:$C$168,2023)</f>
        <v>0</v>
      </c>
      <c r="C20" s="10" t="s">
        <v>493</v>
      </c>
      <c r="D20" s="19" t="n">
        <f aca="false">DATE(2023+5,12,31)</f>
        <v>47118</v>
      </c>
      <c r="E20" s="10" t="str">
        <f aca="false">IF(00_PARAMETROS!$B$4&gt;D20,"NÃO","SIM")</f>
        <v>SIM</v>
      </c>
      <c r="F20" s="10"/>
      <c r="G20" s="10"/>
      <c r="H20" s="10"/>
      <c r="I20" s="10"/>
      <c r="J20" s="11" t="n">
        <f aca="false">SUMIFS(04_BANK_TRANSACTIONS!$U$5:$U$168,04_BANK_TRANSACTIONS!$C$5:$C$168,2023)</f>
        <v>0</v>
      </c>
      <c r="K20" s="11" t="n">
        <f aca="false">IF(E20="SIM",J20,0)</f>
        <v>0</v>
      </c>
      <c r="L20" s="10" t="s">
        <v>494</v>
      </c>
      <c r="M20" s="10" t="s">
        <v>495</v>
      </c>
    </row>
    <row r="21" customFormat="false" ht="43.25" hidden="false" customHeight="false" outlineLevel="0" collapsed="false">
      <c r="A21" s="10" t="s">
        <v>509</v>
      </c>
      <c r="B21" s="11" t="n">
        <f aca="false">SUMIFS(04_BANK_TRANSACTIONS!$Q$5:$Q$168,04_BANK_TRANSACTIONS!$C$5:$C$168,2023)</f>
        <v>0</v>
      </c>
      <c r="C21" s="10" t="s">
        <v>493</v>
      </c>
      <c r="D21" s="19" t="n">
        <f aca="false">DATE(2023+5,12,31)</f>
        <v>47118</v>
      </c>
      <c r="E21" s="10" t="str">
        <f aca="false">IF(00_PARAMETROS!$B$4&gt;D21,"NÃO","SIM")</f>
        <v>SIM</v>
      </c>
      <c r="F21" s="10"/>
      <c r="G21" s="10"/>
      <c r="H21" s="10"/>
      <c r="I21" s="10"/>
      <c r="J21" s="11" t="n">
        <f aca="false">SUMIFS(04_BANK_TRANSACTIONS!$V$5:$V$168,04_BANK_TRANSACTIONS!$C$5:$C$168,2023)</f>
        <v>0</v>
      </c>
      <c r="K21" s="11" t="n">
        <v>0</v>
      </c>
      <c r="L21" s="10" t="s">
        <v>494</v>
      </c>
      <c r="M21" s="10" t="s">
        <v>497</v>
      </c>
    </row>
    <row r="22" customFormat="false" ht="43.25" hidden="false" customHeight="false" outlineLevel="0" collapsed="false">
      <c r="A22" s="10" t="s">
        <v>510</v>
      </c>
      <c r="B22" s="11" t="n">
        <f aca="false">SUMIFS(04_BANK_TRANSACTIONS!$R$5:$R$168,04_BANK_TRANSACTIONS!$C$5:$C$168,2023)</f>
        <v>0</v>
      </c>
      <c r="C22" s="10" t="s">
        <v>493</v>
      </c>
      <c r="D22" s="19" t="n">
        <f aca="false">DATE(2023+5,12,31)</f>
        <v>47118</v>
      </c>
      <c r="E22" s="10" t="str">
        <f aca="false">IF(00_PARAMETROS!$B$4&gt;D22,"NÃO","SIM")</f>
        <v>SIM</v>
      </c>
      <c r="F22" s="10"/>
      <c r="G22" s="10"/>
      <c r="H22" s="10"/>
      <c r="I22" s="10"/>
      <c r="J22" s="11" t="n">
        <f aca="false">SUMIFS(04_BANK_TRANSACTIONS!$W$5:$W$168,04_BANK_TRANSACTIONS!$C$5:$C$168,2023)</f>
        <v>0</v>
      </c>
      <c r="K22" s="11" t="n">
        <v>0</v>
      </c>
      <c r="L22" s="10" t="s">
        <v>494</v>
      </c>
      <c r="M22" s="10" t="s">
        <v>497</v>
      </c>
    </row>
    <row r="23" customFormat="false" ht="43.25" hidden="false" customHeight="false" outlineLevel="0" collapsed="false">
      <c r="A23" s="10" t="s">
        <v>511</v>
      </c>
      <c r="B23" s="11" t="n">
        <f aca="false">SUMIFS(04_BANK_TRANSACTIONS!$P$5:$P$168,04_BANK_TRANSACTIONS!$C$5:$C$168,2024)</f>
        <v>0</v>
      </c>
      <c r="C23" s="10" t="s">
        <v>493</v>
      </c>
      <c r="D23" s="19" t="n">
        <f aca="false">DATE(2024+5,12,31)</f>
        <v>47483</v>
      </c>
      <c r="E23" s="10" t="str">
        <f aca="false">IF(00_PARAMETROS!$B$4&gt;D23,"NÃO","SIM")</f>
        <v>SIM</v>
      </c>
      <c r="F23" s="10"/>
      <c r="G23" s="10"/>
      <c r="H23" s="10"/>
      <c r="I23" s="10"/>
      <c r="J23" s="11" t="n">
        <f aca="false">SUMIFS(04_BANK_TRANSACTIONS!$U$5:$U$168,04_BANK_TRANSACTIONS!$C$5:$C$168,2024)</f>
        <v>0</v>
      </c>
      <c r="K23" s="11" t="n">
        <f aca="false">IF(E23="SIM",J23,0)</f>
        <v>0</v>
      </c>
      <c r="L23" s="10" t="s">
        <v>494</v>
      </c>
      <c r="M23" s="10" t="s">
        <v>495</v>
      </c>
    </row>
    <row r="24" customFormat="false" ht="43.25" hidden="false" customHeight="false" outlineLevel="0" collapsed="false">
      <c r="A24" s="10" t="s">
        <v>512</v>
      </c>
      <c r="B24" s="11" t="n">
        <f aca="false">SUMIFS(04_BANK_TRANSACTIONS!$Q$5:$Q$168,04_BANK_TRANSACTIONS!$C$5:$C$168,2024)</f>
        <v>7117.5</v>
      </c>
      <c r="C24" s="10" t="s">
        <v>493</v>
      </c>
      <c r="D24" s="19" t="n">
        <f aca="false">DATE(2024+5,12,31)</f>
        <v>47483</v>
      </c>
      <c r="E24" s="10" t="str">
        <f aca="false">IF(00_PARAMETROS!$B$4&gt;D24,"NÃO","SIM")</f>
        <v>SIM</v>
      </c>
      <c r="F24" s="10"/>
      <c r="G24" s="10"/>
      <c r="H24" s="10"/>
      <c r="I24" s="10"/>
      <c r="J24" s="11" t="n">
        <f aca="false">SUMIFS(04_BANK_TRANSACTIONS!$V$5:$V$168,04_BANK_TRANSACTIONS!$C$5:$C$168,2024)</f>
        <v>10275.31</v>
      </c>
      <c r="K24" s="11" t="n">
        <v>0</v>
      </c>
      <c r="L24" s="10" t="s">
        <v>494</v>
      </c>
      <c r="M24" s="10" t="s">
        <v>497</v>
      </c>
    </row>
    <row r="25" customFormat="false" ht="43.25" hidden="false" customHeight="false" outlineLevel="0" collapsed="false">
      <c r="A25" s="10" t="s">
        <v>513</v>
      </c>
      <c r="B25" s="11" t="n">
        <f aca="false">SUMIFS(04_BANK_TRANSACTIONS!$R$5:$R$168,04_BANK_TRANSACTIONS!$C$5:$C$168,2024)</f>
        <v>11862.5</v>
      </c>
      <c r="C25" s="10" t="s">
        <v>493</v>
      </c>
      <c r="D25" s="19" t="n">
        <f aca="false">DATE(2024+5,12,31)</f>
        <v>47483</v>
      </c>
      <c r="E25" s="10" t="str">
        <f aca="false">IF(00_PARAMETROS!$B$4&gt;D25,"NÃO","SIM")</f>
        <v>SIM</v>
      </c>
      <c r="F25" s="10"/>
      <c r="G25" s="10"/>
      <c r="H25" s="10"/>
      <c r="I25" s="10"/>
      <c r="J25" s="11" t="n">
        <f aca="false">SUMIFS(04_BANK_TRANSACTIONS!$W$5:$W$168,04_BANK_TRANSACTIONS!$C$5:$C$168,2024)</f>
        <v>17125.53</v>
      </c>
      <c r="K25" s="11" t="n">
        <v>0</v>
      </c>
      <c r="L25" s="10" t="s">
        <v>494</v>
      </c>
      <c r="M25" s="10" t="s">
        <v>497</v>
      </c>
    </row>
    <row r="26" customFormat="false" ht="43.25" hidden="false" customHeight="false" outlineLevel="0" collapsed="false">
      <c r="A26" s="10" t="s">
        <v>514</v>
      </c>
      <c r="B26" s="11" t="n">
        <f aca="false">SUMIFS(04_BANK_TRANSACTIONS!$P$5:$P$168,04_BANK_TRANSACTIONS!$C$5:$C$168,2025)</f>
        <v>0</v>
      </c>
      <c r="C26" s="10" t="s">
        <v>493</v>
      </c>
      <c r="D26" s="19" t="n">
        <f aca="false">DATE(2025+5,12,31)</f>
        <v>47848</v>
      </c>
      <c r="E26" s="10" t="str">
        <f aca="false">IF(00_PARAMETROS!$B$4&gt;D26,"NÃO","SIM")</f>
        <v>SIM</v>
      </c>
      <c r="F26" s="10"/>
      <c r="G26" s="10"/>
      <c r="H26" s="10"/>
      <c r="I26" s="10"/>
      <c r="J26" s="11" t="n">
        <f aca="false">SUMIFS(04_BANK_TRANSACTIONS!$U$5:$U$168,04_BANK_TRANSACTIONS!$C$5:$C$168,2025)</f>
        <v>0</v>
      </c>
      <c r="K26" s="11" t="n">
        <f aca="false">IF(E26="SIM",J26,0)</f>
        <v>0</v>
      </c>
      <c r="L26" s="10" t="s">
        <v>494</v>
      </c>
      <c r="M26" s="10" t="s">
        <v>495</v>
      </c>
    </row>
    <row r="27" customFormat="false" ht="43.25" hidden="false" customHeight="false" outlineLevel="0" collapsed="false">
      <c r="A27" s="10" t="s">
        <v>515</v>
      </c>
      <c r="B27" s="11" t="n">
        <f aca="false">SUMIFS(04_BANK_TRANSACTIONS!$Q$5:$Q$168,04_BANK_TRANSACTIONS!$C$5:$C$168,2025)</f>
        <v>85209</v>
      </c>
      <c r="C27" s="10" t="s">
        <v>493</v>
      </c>
      <c r="D27" s="19" t="n">
        <f aca="false">DATE(2025+5,12,31)</f>
        <v>47848</v>
      </c>
      <c r="E27" s="10" t="str">
        <f aca="false">IF(00_PARAMETROS!$B$4&gt;D27,"NÃO","SIM")</f>
        <v>SIM</v>
      </c>
      <c r="F27" s="10"/>
      <c r="G27" s="10"/>
      <c r="H27" s="10"/>
      <c r="I27" s="10"/>
      <c r="J27" s="11" t="n">
        <f aca="false">SUMIFS(04_BANK_TRANSACTIONS!$V$5:$V$168,04_BANK_TRANSACTIONS!$C$5:$C$168,2025)</f>
        <v>117339.42</v>
      </c>
      <c r="K27" s="11" t="n">
        <v>0</v>
      </c>
      <c r="L27" s="10" t="s">
        <v>494</v>
      </c>
      <c r="M27" s="10" t="s">
        <v>497</v>
      </c>
    </row>
    <row r="28" customFormat="false" ht="43.25" hidden="false" customHeight="false" outlineLevel="0" collapsed="false">
      <c r="A28" s="10" t="s">
        <v>516</v>
      </c>
      <c r="B28" s="11" t="n">
        <f aca="false">SUMIFS(04_BANK_TRANSACTIONS!$R$5:$R$168,04_BANK_TRANSACTIONS!$C$5:$C$168,2025)</f>
        <v>142015</v>
      </c>
      <c r="C28" s="10" t="s">
        <v>493</v>
      </c>
      <c r="D28" s="19" t="n">
        <f aca="false">DATE(2025+5,12,31)</f>
        <v>47848</v>
      </c>
      <c r="E28" s="10" t="str">
        <f aca="false">IF(00_PARAMETROS!$B$4&gt;D28,"NÃO","SIM")</f>
        <v>SIM</v>
      </c>
      <c r="F28" s="10"/>
      <c r="G28" s="10"/>
      <c r="H28" s="10"/>
      <c r="I28" s="10"/>
      <c r="J28" s="11" t="n">
        <f aca="false">SUMIFS(04_BANK_TRANSACTIONS!$W$5:$W$168,04_BANK_TRANSACTIONS!$C$5:$C$168,2025)</f>
        <v>195565.68</v>
      </c>
      <c r="K28" s="11" t="n">
        <v>0</v>
      </c>
      <c r="L28" s="10" t="s">
        <v>494</v>
      </c>
      <c r="M28" s="10" t="s">
        <v>497</v>
      </c>
    </row>
    <row r="29" customFormat="false" ht="43.25" hidden="false" customHeight="false" outlineLevel="0" collapsed="false">
      <c r="A29" s="10" t="s">
        <v>517</v>
      </c>
      <c r="B29" s="11" t="n">
        <f aca="false">SUMIFS(04_BANK_TRANSACTIONS!$P$5:$P$168,04_BANK_TRANSACTIONS!$C$5:$C$168,2026)</f>
        <v>0</v>
      </c>
      <c r="C29" s="10" t="s">
        <v>493</v>
      </c>
      <c r="D29" s="19" t="n">
        <f aca="false">DATE(2026+5,12,31)</f>
        <v>48213</v>
      </c>
      <c r="E29" s="10" t="str">
        <f aca="false">IF(00_PARAMETROS!$B$4&gt;D29,"NÃO","SIM")</f>
        <v>SIM</v>
      </c>
      <c r="F29" s="10"/>
      <c r="G29" s="10"/>
      <c r="H29" s="10"/>
      <c r="I29" s="10"/>
      <c r="J29" s="11" t="n">
        <f aca="false">SUMIFS(04_BANK_TRANSACTIONS!$U$5:$U$168,04_BANK_TRANSACTIONS!$C$5:$C$168,2026)</f>
        <v>0</v>
      </c>
      <c r="K29" s="11" t="n">
        <f aca="false">IF(E29="SIM",J29,0)</f>
        <v>0</v>
      </c>
      <c r="L29" s="10" t="s">
        <v>494</v>
      </c>
      <c r="M29" s="10" t="s">
        <v>495</v>
      </c>
    </row>
    <row r="30" customFormat="false" ht="43.25" hidden="false" customHeight="false" outlineLevel="0" collapsed="false">
      <c r="A30" s="10" t="s">
        <v>518</v>
      </c>
      <c r="B30" s="11" t="n">
        <f aca="false">SUMIFS(04_BANK_TRANSACTIONS!$Q$5:$Q$168,04_BANK_TRANSACTIONS!$C$5:$C$168,2026)</f>
        <v>1200</v>
      </c>
      <c r="C30" s="10" t="s">
        <v>493</v>
      </c>
      <c r="D30" s="19" t="n">
        <f aca="false">DATE(2026+5,12,31)</f>
        <v>48213</v>
      </c>
      <c r="E30" s="10" t="str">
        <f aca="false">IF(00_PARAMETROS!$B$4&gt;D30,"NÃO","SIM")</f>
        <v>SIM</v>
      </c>
      <c r="F30" s="10"/>
      <c r="G30" s="10"/>
      <c r="H30" s="10"/>
      <c r="I30" s="10"/>
      <c r="J30" s="11" t="n">
        <f aca="false">SUMIFS(04_BANK_TRANSACTIONS!$V$5:$V$168,04_BANK_TRANSACTIONS!$C$5:$C$168,2026)</f>
        <v>1506</v>
      </c>
      <c r="K30" s="11" t="n">
        <v>0</v>
      </c>
      <c r="L30" s="10" t="s">
        <v>494</v>
      </c>
      <c r="M30" s="10" t="s">
        <v>497</v>
      </c>
    </row>
    <row r="31" customFormat="false" ht="43.25" hidden="false" customHeight="false" outlineLevel="0" collapsed="false">
      <c r="A31" s="10" t="s">
        <v>519</v>
      </c>
      <c r="B31" s="11" t="n">
        <f aca="false">SUMIFS(04_BANK_TRANSACTIONS!$R$5:$R$168,04_BANK_TRANSACTIONS!$C$5:$C$168,2026)</f>
        <v>2000</v>
      </c>
      <c r="C31" s="10" t="s">
        <v>493</v>
      </c>
      <c r="D31" s="19" t="n">
        <f aca="false">DATE(2026+5,12,31)</f>
        <v>48213</v>
      </c>
      <c r="E31" s="10" t="str">
        <f aca="false">IF(00_PARAMETROS!$B$4&gt;D31,"NÃO","SIM")</f>
        <v>SIM</v>
      </c>
      <c r="F31" s="10"/>
      <c r="G31" s="10"/>
      <c r="H31" s="10"/>
      <c r="I31" s="10"/>
      <c r="J31" s="11" t="n">
        <f aca="false">SUMIFS(04_BANK_TRANSACTIONS!$W$5:$W$168,04_BANK_TRANSACTIONS!$C$5:$C$168,2026)</f>
        <v>2510</v>
      </c>
      <c r="K31" s="11" t="n">
        <v>0</v>
      </c>
      <c r="L31" s="10" t="s">
        <v>494</v>
      </c>
      <c r="M31" s="10" t="s">
        <v>497</v>
      </c>
    </row>
    <row r="32" customFormat="false" ht="15" hidden="false" customHeight="false" outlineLevel="0" collapsed="false">
      <c r="A32" s="12" t="s">
        <v>520</v>
      </c>
      <c r="K32" s="14" t="n">
        <f aca="false">SUM(K6:K31)</f>
        <v>0</v>
      </c>
    </row>
    <row r="33" customFormat="false" ht="22.35" hidden="false" customHeight="false" outlineLevel="0" collapsed="false">
      <c r="A33" s="35" t="s">
        <v>521</v>
      </c>
      <c r="J33" s="17" t="n">
        <f aca="false">SUMIFS(J8:J31,A8:A31,"Cenário A*",E8:E31,"SIM")</f>
        <v>129120.73</v>
      </c>
    </row>
    <row r="34" customFormat="false" ht="22.35" hidden="false" customHeight="false" outlineLevel="0" collapsed="false">
      <c r="A34" s="35" t="s">
        <v>522</v>
      </c>
      <c r="J34" s="17" t="n">
        <f aca="false">SUMIFS(J8:J31,A8:A31,"Cenário B*",E8:E31,"SIM")</f>
        <v>215201.21</v>
      </c>
    </row>
    <row r="36" customFormat="false" ht="15" hidden="false" customHeight="false" outlineLevel="0" collapsed="false">
      <c r="A36" s="36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6" t="s">
        <v>524</v>
      </c>
    </row>
    <row r="2" customFormat="false" ht="15" hidden="false" customHeight="false" outlineLevel="0" collapsed="false">
      <c r="A2" s="7" t="s">
        <v>15</v>
      </c>
    </row>
    <row r="4" customFormat="false" ht="30" hidden="false" customHeight="true" outlineLevel="0" collapsed="false">
      <c r="A4" s="9" t="s">
        <v>445</v>
      </c>
      <c r="B4" s="9" t="s">
        <v>525</v>
      </c>
      <c r="C4" s="9" t="s">
        <v>526</v>
      </c>
      <c r="D4" s="9" t="s">
        <v>527</v>
      </c>
      <c r="E4" s="9" t="s">
        <v>446</v>
      </c>
    </row>
    <row r="5" customFormat="false" ht="43.25" hidden="false" customHeight="false" outlineLevel="0" collapsed="false">
      <c r="A5" s="10" t="s">
        <v>528</v>
      </c>
      <c r="B5" s="10" t="s">
        <v>529</v>
      </c>
      <c r="C5" s="10" t="s">
        <v>530</v>
      </c>
      <c r="D5" s="11"/>
      <c r="E5" s="10" t="s">
        <v>531</v>
      </c>
    </row>
    <row r="6" customFormat="false" ht="15" hidden="false" customHeight="false" outlineLevel="0" collapsed="false">
      <c r="A6" s="10" t="s">
        <v>532</v>
      </c>
      <c r="B6" s="19" t="n">
        <v>45868</v>
      </c>
      <c r="C6" s="19" t="n">
        <v>45868</v>
      </c>
      <c r="D6" s="11"/>
      <c r="E6" s="10" t="s">
        <v>533</v>
      </c>
    </row>
    <row r="7" customFormat="false" ht="15" hidden="false" customHeight="false" outlineLevel="0" collapsed="false">
      <c r="A7" s="10" t="s">
        <v>534</v>
      </c>
      <c r="B7" s="11" t="n">
        <v>370000</v>
      </c>
      <c r="C7" s="11" t="n">
        <v>1250265</v>
      </c>
      <c r="D7" s="11" t="n">
        <f aca="false">B7+C7</f>
        <v>1620265</v>
      </c>
      <c r="E7" s="10" t="s">
        <v>535</v>
      </c>
    </row>
    <row r="8" customFormat="false" ht="15" hidden="false" customHeight="false" outlineLevel="0" collapsed="false">
      <c r="A8" s="10" t="s">
        <v>536</v>
      </c>
      <c r="B8" s="10" t="s">
        <v>537</v>
      </c>
      <c r="C8" s="10" t="s">
        <v>538</v>
      </c>
      <c r="D8" s="11"/>
      <c r="E8" s="10" t="s">
        <v>533</v>
      </c>
    </row>
    <row r="9" customFormat="false" ht="22.35" hidden="false" customHeight="false" outlineLevel="0" collapsed="false">
      <c r="A9" s="10" t="s">
        <v>539</v>
      </c>
      <c r="B9" s="10" t="s">
        <v>540</v>
      </c>
      <c r="C9" s="10" t="s">
        <v>541</v>
      </c>
      <c r="D9" s="11"/>
      <c r="E9" s="10" t="s">
        <v>542</v>
      </c>
    </row>
    <row r="10" customFormat="false" ht="22.35" hidden="false" customHeight="false" outlineLevel="0" collapsed="false">
      <c r="A10" s="10" t="s">
        <v>543</v>
      </c>
      <c r="B10" s="11" t="n">
        <v>370000</v>
      </c>
      <c r="C10" s="11" t="n">
        <f aca="false">80000+3*35805+2*3000</f>
        <v>193415</v>
      </c>
      <c r="D10" s="11" t="n">
        <f aca="false">B10+C10</f>
        <v>563415</v>
      </c>
      <c r="E10" s="10" t="s">
        <v>544</v>
      </c>
    </row>
    <row r="11" customFormat="false" ht="22.35" hidden="false" customHeight="false" outlineLevel="0" collapsed="false">
      <c r="A11" s="10" t="s">
        <v>545</v>
      </c>
      <c r="B11" s="11" t="n">
        <f aca="false">-SUMIFS(04_BANK_TRANSACTIONS!$F$5:$F$168,04_BANK_TRANSACTIONS!$X$5:$X$168,"BLUE OCEAN 605")</f>
        <v>295000</v>
      </c>
      <c r="C11" s="11" t="n">
        <f aca="false">-SUMIFS(04_BANK_TRANSACTIONS!$F$5:$F$168,04_BANK_TRANSACTIONS!$X$5:$X$168,"N1 APTO 303")</f>
        <v>49200</v>
      </c>
      <c r="D11" s="11" t="n">
        <f aca="false">B11+C11</f>
        <v>344200</v>
      </c>
      <c r="E11" s="10" t="s">
        <v>546</v>
      </c>
    </row>
    <row r="12" customFormat="false" ht="22.35" hidden="false" customHeight="false" outlineLevel="0" collapsed="false">
      <c r="A12" s="10" t="s">
        <v>547</v>
      </c>
      <c r="B12" s="11" t="n">
        <f aca="false">B10-B11</f>
        <v>75000</v>
      </c>
      <c r="C12" s="11" t="n">
        <f aca="false">C10-C11</f>
        <v>144215</v>
      </c>
      <c r="D12" s="11" t="n">
        <f aca="false">B12+C12</f>
        <v>219215</v>
      </c>
      <c r="E12" s="10" t="s">
        <v>548</v>
      </c>
    </row>
    <row r="13" customFormat="false" ht="22.35" hidden="false" customHeight="false" outlineLevel="0" collapsed="false">
      <c r="A13" s="10" t="s">
        <v>549</v>
      </c>
      <c r="B13" s="11" t="n">
        <v>0</v>
      </c>
      <c r="C13" s="11" t="n">
        <f aca="false">C7-C10</f>
        <v>1056850</v>
      </c>
      <c r="D13" s="11" t="n">
        <f aca="false">B13+C13</f>
        <v>1056850</v>
      </c>
      <c r="E13" s="10" t="s">
        <v>550</v>
      </c>
    </row>
    <row r="15" customFormat="false" ht="22.35" hidden="false" customHeight="false" outlineLevel="0" collapsed="false">
      <c r="A15" s="15" t="s">
        <v>551</v>
      </c>
    </row>
    <row r="16" customFormat="false" ht="30" hidden="false" customHeight="true" outlineLevel="0" collapsed="false">
      <c r="A16" s="9" t="s">
        <v>552</v>
      </c>
      <c r="B16" s="9" t="s">
        <v>553</v>
      </c>
      <c r="C16" s="9" t="s">
        <v>554</v>
      </c>
      <c r="D16" s="9"/>
      <c r="E16" s="9" t="s">
        <v>555</v>
      </c>
    </row>
    <row r="17" customFormat="false" ht="15" hidden="false" customHeight="false" outlineLevel="0" collapsed="false">
      <c r="A17" s="10" t="s">
        <v>556</v>
      </c>
      <c r="B17" s="11" t="n">
        <f aca="false">SUMIFS(04_BANK_TRANSACTIONS!$F$5:$F$168,04_BANK_TRANSACTIONS!$C$5:$C$168,2025,04_BANK_TRANSACTIONS!$H$5:$H$168,"intermediario_remessa",04_BANK_TRANSACTIONS!$G$5:$G$168,"entrada")</f>
        <v>133096.7</v>
      </c>
      <c r="C17" s="21" t="n">
        <f aca="false">COUNTIFS(04_BANK_TRANSACTIONS!$C$5:$C$168,2025,04_BANK_TRANSACTIONS!$H$5:$H$168,"intermediario_remessa",04_BANK_TRANSACTIONS!$G$5:$G$168,"entrada")</f>
        <v>14</v>
      </c>
      <c r="D17" s="10"/>
      <c r="E17" s="10"/>
    </row>
    <row r="18" customFormat="false" ht="15" hidden="false" customHeight="false" outlineLevel="0" collapsed="false">
      <c r="A18" s="10" t="s">
        <v>557</v>
      </c>
      <c r="B18" s="11" t="n">
        <f aca="false">SUMIFS(04_BANK_TRANSACTIONS!$F$5:$F$168,04_BANK_TRANSACTIONS!$C$5:$C$168,2025,04_BANK_TRANSACTIONS!$H$5:$H$168,"terceiros",04_BANK_TRANSACTIONS!$G$5:$G$168,"entrada")</f>
        <v>568060</v>
      </c>
      <c r="C18" s="21" t="n">
        <f aca="false">COUNTIFS(04_BANK_TRANSACTIONS!$C$5:$C$168,2025,04_BANK_TRANSACTIONS!$H$5:$H$168,"terceiros",04_BANK_TRANSACTIONS!$G$5:$G$168,"entrada")</f>
        <v>28</v>
      </c>
      <c r="D18" s="10"/>
      <c r="E18" s="10" t="s">
        <v>558</v>
      </c>
    </row>
    <row r="19" customFormat="false" ht="15" hidden="false" customHeight="false" outlineLevel="0" collapsed="false">
      <c r="A19" s="10" t="s">
        <v>559</v>
      </c>
      <c r="B19" s="11" t="n">
        <f aca="false">SUMIFS(04_BANK_TRANSACTIONS!$F$5:$F$168,04_BANK_TRANSACTIONS!$C$5:$C$168,2025,04_BANK_TRANSACTIONS!$H$5:$H$168,"conta_conjuge",04_BANK_TRANSACTIONS!$G$5:$G$168,"entrada")</f>
        <v>85000</v>
      </c>
      <c r="C19" s="21" t="n">
        <f aca="false">COUNTIFS(04_BANK_TRANSACTIONS!$C$5:$C$168,2025,04_BANK_TRANSACTIONS!$H$5:$H$168,"conta_conjuge",04_BANK_TRANSACTIONS!$G$5:$G$168,"entrada")</f>
        <v>2</v>
      </c>
      <c r="D19" s="10"/>
      <c r="E19" s="10"/>
    </row>
    <row r="20" customFormat="false" ht="15" hidden="false" customHeight="false" outlineLevel="0" collapsed="false">
      <c r="A20" s="10" t="s">
        <v>560</v>
      </c>
      <c r="B20" s="11" t="n">
        <f aca="false">SUMIFS(04_BANK_TRANSACTIONS!$F$5:$F$168,04_BANK_TRANSACTIONS!$C$5:$C$168,2025,04_BANK_TRANSACTIONS!$H$5:$H$168,"RDB",04_BANK_TRANSACTIONS!$G$5:$G$168,"entrada")</f>
        <v>89277.35</v>
      </c>
      <c r="C20" s="21" t="n">
        <f aca="false">COUNTIFS(04_BANK_TRANSACTIONS!$C$5:$C$168,2025,04_BANK_TRANSACTIONS!$H$5:$H$168,"RDB",04_BANK_TRANSACTIONS!$G$5:$G$168,"entrada")</f>
        <v>14</v>
      </c>
      <c r="D20" s="10"/>
      <c r="E20" s="10"/>
    </row>
    <row r="21" customFormat="false" ht="15" hidden="false" customHeight="false" outlineLevel="0" collapsed="false">
      <c r="A21" s="10" t="s">
        <v>561</v>
      </c>
      <c r="B21" s="11" t="n">
        <f aca="false">SUMIFS(04_BANK_TRANSACTIONS!$F$5:$F$168,04_BANK_TRANSACTIONS!$C$5:$C$168,2025,04_BANK_TRANSACTIONS!$H$5:$H$168,"estorno",04_BANK_TRANSACTIONS!$G$5:$G$168,"entrada")</f>
        <v>900</v>
      </c>
      <c r="C21" s="21" t="n">
        <f aca="false">COUNTIFS(04_BANK_TRANSACTIONS!$C$5:$C$168,2025,04_BANK_TRANSACTIONS!$H$5:$H$168,"estorno",04_BANK_TRANSACTIONS!$G$5:$G$168,"entrada")</f>
        <v>1</v>
      </c>
      <c r="D21" s="10"/>
      <c r="E21" s="10"/>
    </row>
    <row r="22" customFormat="false" ht="15" hidden="false" customHeight="false" outlineLevel="0" collapsed="false">
      <c r="A22" s="12" t="s">
        <v>562</v>
      </c>
      <c r="B22" s="14" t="n">
        <f aca="false">SUM(B17:B21)</f>
        <v>876334.05</v>
      </c>
    </row>
    <row r="23" customFormat="false" ht="22.35" hidden="false" customHeight="false" outlineLevel="0" collapsed="false">
      <c r="A23" s="15" t="s">
        <v>563</v>
      </c>
      <c r="B23" s="23"/>
      <c r="E23" s="10" t="s">
        <v>564</v>
      </c>
    </row>
    <row r="25" customFormat="false" ht="15" hidden="false" customHeight="false" outlineLevel="0" collapsed="false">
      <c r="A25" s="15" t="s">
        <v>565</v>
      </c>
    </row>
    <row r="26" customFormat="false" ht="27.75" hidden="false" customHeight="true" outlineLevel="0" collapsed="false">
      <c r="A26" s="37" t="s">
        <v>566</v>
      </c>
      <c r="B26" s="37"/>
      <c r="C26" s="37"/>
      <c r="D26" s="37"/>
      <c r="E26" s="37"/>
    </row>
    <row r="27" customFormat="false" ht="27.75" hidden="false" customHeight="true" outlineLevel="0" collapsed="false">
      <c r="A27" s="37" t="s">
        <v>567</v>
      </c>
      <c r="B27" s="37"/>
      <c r="C27" s="37"/>
      <c r="D27" s="37"/>
      <c r="E27" s="37"/>
    </row>
    <row r="28" customFormat="false" ht="27.75" hidden="false" customHeight="true" outlineLevel="0" collapsed="false">
      <c r="A28" s="37" t="s">
        <v>568</v>
      </c>
      <c r="B28" s="37"/>
      <c r="C28" s="37"/>
      <c r="D28" s="37"/>
      <c r="E28" s="37"/>
    </row>
    <row r="29" customFormat="false" ht="27.75" hidden="false" customHeight="true" outlineLevel="0" collapsed="false">
      <c r="A29" s="37" t="s">
        <v>569</v>
      </c>
      <c r="B29" s="37"/>
      <c r="C29" s="37"/>
      <c r="D29" s="37"/>
      <c r="E29" s="37"/>
    </row>
    <row r="30" customFormat="false" ht="27.75" hidden="false" customHeight="true" outlineLevel="0" collapsed="false">
      <c r="A30" s="37" t="s">
        <v>570</v>
      </c>
      <c r="B30" s="37"/>
      <c r="C30" s="37"/>
      <c r="D30" s="37"/>
      <c r="E30" s="37"/>
    </row>
    <row r="31" customFormat="false" ht="27.75" hidden="false" customHeight="true" outlineLevel="0" collapsed="false">
      <c r="A31" s="37" t="s">
        <v>571</v>
      </c>
      <c r="B31" s="37"/>
      <c r="C31" s="37"/>
      <c r="D31" s="37"/>
      <c r="E31" s="37"/>
    </row>
  </sheetData>
  <mergeCells count="6">
    <mergeCell ref="A26:E26"/>
    <mergeCell ref="A27:E27"/>
    <mergeCell ref="A28:E28"/>
    <mergeCell ref="A29:E29"/>
    <mergeCell ref="A30:E3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6" t="s">
        <v>572</v>
      </c>
    </row>
    <row r="2" customFormat="false" ht="15" hidden="false" customHeight="false" outlineLevel="0" collapsed="false">
      <c r="A2" s="7" t="s">
        <v>15</v>
      </c>
    </row>
    <row r="4" customFormat="false" ht="30" hidden="false" customHeight="true" outlineLevel="0" collapsed="false">
      <c r="A4" s="9" t="s">
        <v>573</v>
      </c>
      <c r="B4" s="9" t="s">
        <v>574</v>
      </c>
      <c r="C4" s="9" t="s">
        <v>41</v>
      </c>
      <c r="D4" s="9" t="s">
        <v>84</v>
      </c>
      <c r="E4" s="9" t="s">
        <v>575</v>
      </c>
      <c r="F4" s="9" t="s">
        <v>576</v>
      </c>
      <c r="G4" s="9" t="s">
        <v>577</v>
      </c>
    </row>
    <row r="5" customFormat="false" ht="22.35" hidden="false" customHeight="false" outlineLevel="0" collapsed="false">
      <c r="A5" s="10" t="n">
        <v>1</v>
      </c>
      <c r="B5" s="10" t="s">
        <v>578</v>
      </c>
      <c r="C5" s="10" t="s">
        <v>579</v>
      </c>
      <c r="D5" s="10" t="s">
        <v>102</v>
      </c>
      <c r="E5" s="10" t="s">
        <v>580</v>
      </c>
      <c r="F5" s="10" t="s">
        <v>581</v>
      </c>
      <c r="G5" s="10" t="s">
        <v>582</v>
      </c>
    </row>
    <row r="6" customFormat="false" ht="22.35" hidden="false" customHeight="false" outlineLevel="0" collapsed="false">
      <c r="A6" s="10" t="n">
        <v>2</v>
      </c>
      <c r="B6" s="10" t="s">
        <v>583</v>
      </c>
      <c r="C6" s="10" t="s">
        <v>93</v>
      </c>
      <c r="D6" s="10" t="s">
        <v>584</v>
      </c>
      <c r="E6" s="10" t="s">
        <v>585</v>
      </c>
      <c r="F6" s="10" t="s">
        <v>586</v>
      </c>
      <c r="G6" s="10" t="s">
        <v>587</v>
      </c>
    </row>
    <row r="7" customFormat="false" ht="15" hidden="false" customHeight="false" outlineLevel="0" collapsed="false">
      <c r="A7" s="10" t="n">
        <v>3</v>
      </c>
      <c r="B7" s="10" t="s">
        <v>588</v>
      </c>
      <c r="C7" s="10" t="s">
        <v>101</v>
      </c>
      <c r="D7" s="10" t="s">
        <v>102</v>
      </c>
      <c r="E7" s="10" t="s">
        <v>589</v>
      </c>
      <c r="F7" s="10" t="s">
        <v>590</v>
      </c>
      <c r="G7" s="10" t="s">
        <v>591</v>
      </c>
    </row>
    <row r="8" customFormat="false" ht="22.35" hidden="false" customHeight="false" outlineLevel="0" collapsed="false">
      <c r="A8" s="10" t="n">
        <v>4</v>
      </c>
      <c r="B8" s="10" t="s">
        <v>592</v>
      </c>
      <c r="C8" s="10" t="s">
        <v>593</v>
      </c>
      <c r="D8" s="10" t="s">
        <v>594</v>
      </c>
      <c r="E8" s="10" t="s">
        <v>595</v>
      </c>
      <c r="F8" s="10" t="s">
        <v>596</v>
      </c>
      <c r="G8" s="10" t="s">
        <v>597</v>
      </c>
    </row>
    <row r="9" customFormat="false" ht="22.35" hidden="false" customHeight="false" outlineLevel="0" collapsed="false">
      <c r="A9" s="10" t="n">
        <v>5</v>
      </c>
      <c r="B9" s="10" t="s">
        <v>598</v>
      </c>
      <c r="C9" s="10" t="s">
        <v>113</v>
      </c>
      <c r="D9" s="10" t="s">
        <v>594</v>
      </c>
      <c r="E9" s="10" t="s">
        <v>599</v>
      </c>
      <c r="F9" s="10" t="s">
        <v>596</v>
      </c>
      <c r="G9" s="10" t="s">
        <v>591</v>
      </c>
    </row>
    <row r="10" customFormat="false" ht="22.35" hidden="false" customHeight="false" outlineLevel="0" collapsed="false">
      <c r="A10" s="10" t="n">
        <v>6</v>
      </c>
      <c r="B10" s="10" t="s">
        <v>600</v>
      </c>
      <c r="C10" s="10" t="s">
        <v>116</v>
      </c>
      <c r="D10" s="10" t="s">
        <v>594</v>
      </c>
      <c r="E10" s="10" t="s">
        <v>601</v>
      </c>
      <c r="F10" s="10" t="s">
        <v>596</v>
      </c>
      <c r="G10" s="10" t="s">
        <v>602</v>
      </c>
    </row>
    <row r="11" customFormat="false" ht="22.35" hidden="false" customHeight="false" outlineLevel="0" collapsed="false">
      <c r="A11" s="10" t="n">
        <v>7</v>
      </c>
      <c r="B11" s="10" t="s">
        <v>603</v>
      </c>
      <c r="C11" s="10" t="s">
        <v>120</v>
      </c>
      <c r="D11" s="10" t="s">
        <v>584</v>
      </c>
      <c r="E11" s="10" t="s">
        <v>604</v>
      </c>
      <c r="F11" s="10" t="s">
        <v>596</v>
      </c>
      <c r="G11" s="10" t="s">
        <v>605</v>
      </c>
    </row>
    <row r="12" customFormat="false" ht="22.35" hidden="false" customHeight="false" outlineLevel="0" collapsed="false">
      <c r="A12" s="10" t="n">
        <v>8</v>
      </c>
      <c r="B12" s="10" t="s">
        <v>606</v>
      </c>
      <c r="C12" s="10" t="s">
        <v>607</v>
      </c>
      <c r="D12" s="10" t="s">
        <v>102</v>
      </c>
      <c r="E12" s="10" t="s">
        <v>608</v>
      </c>
      <c r="F12" s="10" t="s">
        <v>609</v>
      </c>
      <c r="G12" s="10" t="s">
        <v>610</v>
      </c>
    </row>
    <row r="13" customFormat="false" ht="32.8" hidden="false" customHeight="false" outlineLevel="0" collapsed="false">
      <c r="A13" s="10" t="n">
        <v>9</v>
      </c>
      <c r="B13" s="10" t="s">
        <v>611</v>
      </c>
      <c r="C13" s="10" t="s">
        <v>612</v>
      </c>
      <c r="D13" s="10" t="s">
        <v>102</v>
      </c>
      <c r="E13" s="10" t="s">
        <v>613</v>
      </c>
      <c r="F13" s="10" t="s">
        <v>614</v>
      </c>
      <c r="G13" s="10" t="s">
        <v>615</v>
      </c>
    </row>
    <row r="14" customFormat="false" ht="22.35" hidden="false" customHeight="false" outlineLevel="0" collapsed="false">
      <c r="A14" s="10" t="n">
        <v>10</v>
      </c>
      <c r="B14" s="10" t="s">
        <v>616</v>
      </c>
      <c r="C14" s="10" t="s">
        <v>617</v>
      </c>
      <c r="D14" s="10" t="s">
        <v>102</v>
      </c>
      <c r="E14" s="10" t="s">
        <v>618</v>
      </c>
      <c r="F14" s="10" t="s">
        <v>619</v>
      </c>
      <c r="G14" s="10" t="s">
        <v>620</v>
      </c>
    </row>
    <row r="15" customFormat="false" ht="22.35" hidden="false" customHeight="false" outlineLevel="0" collapsed="false">
      <c r="A15" s="10" t="n">
        <v>11</v>
      </c>
      <c r="B15" s="10" t="s">
        <v>621</v>
      </c>
      <c r="C15" s="10" t="s">
        <v>617</v>
      </c>
      <c r="D15" s="10" t="s">
        <v>538</v>
      </c>
      <c r="E15" s="10" t="s">
        <v>622</v>
      </c>
      <c r="F15" s="10" t="s">
        <v>619</v>
      </c>
      <c r="G15" s="10" t="s">
        <v>620</v>
      </c>
    </row>
    <row r="16" customFormat="false" ht="15" hidden="false" customHeight="false" outlineLevel="0" collapsed="false">
      <c r="A16" s="10" t="n">
        <v>12</v>
      </c>
      <c r="B16" s="10" t="s">
        <v>623</v>
      </c>
      <c r="C16" s="10" t="s">
        <v>624</v>
      </c>
      <c r="D16" s="10" t="s">
        <v>102</v>
      </c>
      <c r="E16" s="10" t="s">
        <v>625</v>
      </c>
      <c r="F16" s="10" t="s">
        <v>626</v>
      </c>
      <c r="G16" s="10" t="s">
        <v>627</v>
      </c>
    </row>
    <row r="17" customFormat="false" ht="22.35" hidden="false" customHeight="false" outlineLevel="0" collapsed="false">
      <c r="A17" s="10" t="n">
        <v>13</v>
      </c>
      <c r="B17" s="10" t="s">
        <v>628</v>
      </c>
      <c r="C17" s="10" t="s">
        <v>629</v>
      </c>
      <c r="D17" s="10" t="s">
        <v>630</v>
      </c>
      <c r="E17" s="10" t="s">
        <v>631</v>
      </c>
      <c r="F17" s="10" t="s">
        <v>629</v>
      </c>
      <c r="G17" s="10" t="s">
        <v>632</v>
      </c>
    </row>
    <row r="18" customFormat="false" ht="22.35" hidden="false" customHeight="false" outlineLevel="0" collapsed="false">
      <c r="A18" s="10" t="n">
        <v>14</v>
      </c>
      <c r="B18" s="10" t="s">
        <v>633</v>
      </c>
      <c r="C18" s="10" t="s">
        <v>634</v>
      </c>
      <c r="D18" s="10" t="s">
        <v>102</v>
      </c>
      <c r="E18" s="10" t="s">
        <v>629</v>
      </c>
      <c r="F18" s="10" t="s">
        <v>635</v>
      </c>
      <c r="G18" s="25" t="s">
        <v>127</v>
      </c>
    </row>
    <row r="19" customFormat="false" ht="22.35" hidden="false" customHeight="false" outlineLevel="0" collapsed="false">
      <c r="A19" s="10" t="n">
        <v>15</v>
      </c>
      <c r="B19" s="10" t="s">
        <v>636</v>
      </c>
      <c r="C19" s="10" t="s">
        <v>612</v>
      </c>
      <c r="D19" s="10" t="s">
        <v>102</v>
      </c>
      <c r="E19" s="10" t="s">
        <v>629</v>
      </c>
      <c r="F19" s="10" t="s">
        <v>614</v>
      </c>
      <c r="G19" s="25" t="s">
        <v>127</v>
      </c>
    </row>
    <row r="20" customFormat="false" ht="22.35" hidden="false" customHeight="false" outlineLevel="0" collapsed="false">
      <c r="A20" s="10" t="n">
        <v>16</v>
      </c>
      <c r="B20" s="10" t="s">
        <v>637</v>
      </c>
      <c r="C20" s="10" t="s">
        <v>124</v>
      </c>
      <c r="D20" s="10" t="s">
        <v>638</v>
      </c>
      <c r="E20" s="10" t="s">
        <v>629</v>
      </c>
      <c r="F20" s="10" t="s">
        <v>619</v>
      </c>
      <c r="G20" s="25" t="s">
        <v>127</v>
      </c>
    </row>
    <row r="21" customFormat="false" ht="22.35" hidden="false" customHeight="false" outlineLevel="0" collapsed="false">
      <c r="A21" s="10" t="n">
        <v>17</v>
      </c>
      <c r="B21" s="10" t="s">
        <v>639</v>
      </c>
      <c r="C21" s="10" t="s">
        <v>640</v>
      </c>
      <c r="D21" s="10" t="s">
        <v>538</v>
      </c>
      <c r="E21" s="10" t="s">
        <v>629</v>
      </c>
      <c r="F21" s="10" t="s">
        <v>596</v>
      </c>
      <c r="G21" s="25" t="s">
        <v>127</v>
      </c>
    </row>
    <row r="22" customFormat="false" ht="22.35" hidden="false" customHeight="false" outlineLevel="0" collapsed="false">
      <c r="A22" s="10" t="n">
        <v>18</v>
      </c>
      <c r="B22" s="10" t="s">
        <v>641</v>
      </c>
      <c r="C22" s="10" t="s">
        <v>640</v>
      </c>
      <c r="D22" s="10" t="s">
        <v>102</v>
      </c>
      <c r="E22" s="10" t="s">
        <v>629</v>
      </c>
      <c r="F22" s="10" t="s">
        <v>619</v>
      </c>
      <c r="G22" s="25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642</v>
      </c>
    </row>
    <row r="2" customFormat="false" ht="15" hidden="false" customHeight="false" outlineLevel="0" collapsed="false">
      <c r="A2" s="7" t="s">
        <v>15</v>
      </c>
    </row>
    <row r="4" customFormat="false" ht="30" hidden="false" customHeight="true" outlineLevel="0" collapsed="false">
      <c r="A4" s="9" t="s">
        <v>151</v>
      </c>
      <c r="B4" s="9" t="s">
        <v>643</v>
      </c>
      <c r="C4" s="9" t="s">
        <v>41</v>
      </c>
      <c r="D4" s="9" t="s">
        <v>47</v>
      </c>
      <c r="E4" s="9" t="s">
        <v>644</v>
      </c>
      <c r="F4" s="9" t="s">
        <v>645</v>
      </c>
      <c r="G4" s="9" t="s">
        <v>646</v>
      </c>
      <c r="H4" s="9" t="s">
        <v>28</v>
      </c>
    </row>
    <row r="5" customFormat="false" ht="22.35" hidden="false" customHeight="false" outlineLevel="0" collapsed="false">
      <c r="A5" s="10" t="s">
        <v>647</v>
      </c>
      <c r="B5" s="10" t="s">
        <v>648</v>
      </c>
      <c r="C5" s="10" t="s">
        <v>624</v>
      </c>
      <c r="D5" s="38" t="s">
        <v>649</v>
      </c>
      <c r="E5" s="10" t="s">
        <v>650</v>
      </c>
      <c r="F5" s="10" t="s">
        <v>651</v>
      </c>
      <c r="G5" s="10" t="s">
        <v>652</v>
      </c>
      <c r="H5" s="10" t="s">
        <v>653</v>
      </c>
    </row>
    <row r="6" customFormat="false" ht="53.7" hidden="false" customHeight="false" outlineLevel="0" collapsed="false">
      <c r="A6" s="10" t="s">
        <v>654</v>
      </c>
      <c r="B6" s="10" t="s">
        <v>655</v>
      </c>
      <c r="C6" s="10" t="s">
        <v>612</v>
      </c>
      <c r="D6" s="38" t="s">
        <v>76</v>
      </c>
      <c r="E6" s="10" t="s">
        <v>656</v>
      </c>
      <c r="F6" s="10" t="s">
        <v>657</v>
      </c>
      <c r="G6" s="10" t="s">
        <v>658</v>
      </c>
      <c r="H6" s="10" t="s">
        <v>653</v>
      </c>
    </row>
    <row r="7" customFormat="false" ht="22.35" hidden="false" customHeight="false" outlineLevel="0" collapsed="false">
      <c r="A7" s="10" t="s">
        <v>659</v>
      </c>
      <c r="B7" s="10" t="s">
        <v>660</v>
      </c>
      <c r="C7" s="10" t="s">
        <v>634</v>
      </c>
      <c r="D7" s="38" t="s">
        <v>76</v>
      </c>
      <c r="E7" s="10" t="s">
        <v>661</v>
      </c>
      <c r="F7" s="10" t="s">
        <v>662</v>
      </c>
      <c r="G7" s="10" t="s">
        <v>658</v>
      </c>
      <c r="H7" s="10" t="s">
        <v>653</v>
      </c>
    </row>
    <row r="8" customFormat="false" ht="22.35" hidden="false" customHeight="false" outlineLevel="0" collapsed="false">
      <c r="A8" s="10" t="s">
        <v>663</v>
      </c>
      <c r="B8" s="10" t="s">
        <v>664</v>
      </c>
      <c r="C8" s="10" t="s">
        <v>624</v>
      </c>
      <c r="D8" s="38" t="s">
        <v>76</v>
      </c>
      <c r="E8" s="10" t="s">
        <v>665</v>
      </c>
      <c r="F8" s="10" t="s">
        <v>666</v>
      </c>
      <c r="G8" s="10" t="s">
        <v>667</v>
      </c>
      <c r="H8" s="10" t="s">
        <v>653</v>
      </c>
    </row>
    <row r="9" customFormat="false" ht="22.35" hidden="false" customHeight="false" outlineLevel="0" collapsed="false">
      <c r="A9" s="10" t="s">
        <v>668</v>
      </c>
      <c r="B9" s="10" t="s">
        <v>669</v>
      </c>
      <c r="C9" s="10" t="s">
        <v>624</v>
      </c>
      <c r="D9" s="38" t="s">
        <v>76</v>
      </c>
      <c r="E9" s="10" t="s">
        <v>670</v>
      </c>
      <c r="F9" s="10" t="s">
        <v>671</v>
      </c>
      <c r="G9" s="10" t="s">
        <v>672</v>
      </c>
      <c r="H9" s="10" t="s">
        <v>653</v>
      </c>
    </row>
    <row r="10" customFormat="false" ht="22.35" hidden="false" customHeight="false" outlineLevel="0" collapsed="false">
      <c r="A10" s="10" t="s">
        <v>673</v>
      </c>
      <c r="B10" s="10" t="s">
        <v>674</v>
      </c>
      <c r="C10" s="10" t="s">
        <v>675</v>
      </c>
      <c r="D10" s="10" t="s">
        <v>61</v>
      </c>
      <c r="E10" s="10" t="s">
        <v>676</v>
      </c>
      <c r="F10" s="10" t="s">
        <v>677</v>
      </c>
      <c r="G10" s="10" t="s">
        <v>672</v>
      </c>
      <c r="H10" s="10" t="s">
        <v>653</v>
      </c>
    </row>
    <row r="11" customFormat="false" ht="22.35" hidden="false" customHeight="false" outlineLevel="0" collapsed="false">
      <c r="A11" s="10" t="s">
        <v>678</v>
      </c>
      <c r="B11" s="10" t="s">
        <v>679</v>
      </c>
      <c r="C11" s="10" t="s">
        <v>680</v>
      </c>
      <c r="D11" s="10" t="s">
        <v>61</v>
      </c>
      <c r="E11" s="10" t="s">
        <v>681</v>
      </c>
      <c r="F11" s="10" t="s">
        <v>682</v>
      </c>
      <c r="G11" s="10" t="s">
        <v>672</v>
      </c>
      <c r="H11" s="10" t="s">
        <v>653</v>
      </c>
    </row>
    <row r="12" customFormat="false" ht="22.35" hidden="false" customHeight="false" outlineLevel="0" collapsed="false">
      <c r="A12" s="10" t="s">
        <v>683</v>
      </c>
      <c r="B12" s="10" t="s">
        <v>684</v>
      </c>
      <c r="C12" s="10" t="s">
        <v>685</v>
      </c>
      <c r="D12" s="10" t="s">
        <v>61</v>
      </c>
      <c r="E12" s="10" t="s">
        <v>686</v>
      </c>
      <c r="F12" s="10" t="s">
        <v>687</v>
      </c>
      <c r="G12" s="10" t="s">
        <v>629</v>
      </c>
      <c r="H12" s="10" t="s">
        <v>653</v>
      </c>
    </row>
    <row r="13" customFormat="false" ht="32.8" hidden="false" customHeight="false" outlineLevel="0" collapsed="false">
      <c r="A13" s="10" t="s">
        <v>688</v>
      </c>
      <c r="B13" s="10" t="s">
        <v>689</v>
      </c>
      <c r="C13" s="10" t="s">
        <v>690</v>
      </c>
      <c r="D13" s="10" t="s">
        <v>61</v>
      </c>
      <c r="E13" s="10" t="s">
        <v>691</v>
      </c>
      <c r="F13" s="10" t="s">
        <v>692</v>
      </c>
      <c r="G13" s="10" t="s">
        <v>693</v>
      </c>
      <c r="H13" s="10" t="s">
        <v>653</v>
      </c>
    </row>
    <row r="14" customFormat="false" ht="32.8" hidden="false" customHeight="false" outlineLevel="0" collapsed="false">
      <c r="A14" s="10" t="s">
        <v>694</v>
      </c>
      <c r="B14" s="10" t="s">
        <v>695</v>
      </c>
      <c r="C14" s="10" t="s">
        <v>696</v>
      </c>
      <c r="D14" s="10" t="s">
        <v>61</v>
      </c>
      <c r="E14" s="10" t="s">
        <v>697</v>
      </c>
      <c r="F14" s="10" t="s">
        <v>698</v>
      </c>
      <c r="G14" s="10" t="s">
        <v>672</v>
      </c>
      <c r="H14" s="10" t="s">
        <v>653</v>
      </c>
    </row>
    <row r="15" customFormat="false" ht="32.8" hidden="false" customHeight="false" outlineLevel="0" collapsed="false">
      <c r="A15" s="10" t="s">
        <v>699</v>
      </c>
      <c r="B15" s="10" t="s">
        <v>700</v>
      </c>
      <c r="C15" s="10" t="s">
        <v>701</v>
      </c>
      <c r="D15" s="10" t="s">
        <v>53</v>
      </c>
      <c r="E15" s="10" t="s">
        <v>702</v>
      </c>
      <c r="F15" s="10" t="s">
        <v>703</v>
      </c>
      <c r="G15" s="10" t="s">
        <v>629</v>
      </c>
      <c r="H15" s="10" t="s">
        <v>653</v>
      </c>
    </row>
    <row r="16" customFormat="false" ht="22.35" hidden="false" customHeight="false" outlineLevel="0" collapsed="false">
      <c r="A16" s="10" t="s">
        <v>704</v>
      </c>
      <c r="B16" s="10" t="s">
        <v>705</v>
      </c>
      <c r="C16" s="10" t="s">
        <v>706</v>
      </c>
      <c r="D16" s="10" t="s">
        <v>53</v>
      </c>
      <c r="E16" s="10" t="s">
        <v>707</v>
      </c>
      <c r="F16" s="10" t="s">
        <v>708</v>
      </c>
      <c r="G16" s="10" t="s">
        <v>629</v>
      </c>
      <c r="H16" s="10" t="s">
        <v>709</v>
      </c>
    </row>
    <row r="17" customFormat="false" ht="22.35" hidden="false" customHeight="false" outlineLevel="0" collapsed="false">
      <c r="A17" s="10" t="s">
        <v>710</v>
      </c>
      <c r="B17" s="10" t="s">
        <v>711</v>
      </c>
      <c r="C17" s="10" t="s">
        <v>712</v>
      </c>
      <c r="D17" s="10" t="s">
        <v>61</v>
      </c>
      <c r="E17" s="10" t="s">
        <v>713</v>
      </c>
      <c r="F17" s="10" t="s">
        <v>714</v>
      </c>
      <c r="G17" s="10" t="s">
        <v>629</v>
      </c>
      <c r="H17" s="10" t="s">
        <v>709</v>
      </c>
    </row>
    <row r="18" customFormat="false" ht="22.35" hidden="false" customHeight="false" outlineLevel="0" collapsed="false">
      <c r="A18" s="10" t="s">
        <v>715</v>
      </c>
      <c r="B18" s="10" t="s">
        <v>716</v>
      </c>
      <c r="C18" s="10" t="s">
        <v>706</v>
      </c>
      <c r="D18" s="10" t="s">
        <v>53</v>
      </c>
      <c r="E18" s="10" t="s">
        <v>717</v>
      </c>
      <c r="F18" s="10" t="s">
        <v>718</v>
      </c>
      <c r="G18" s="10" t="s">
        <v>629</v>
      </c>
      <c r="H18" s="10" t="s">
        <v>709</v>
      </c>
    </row>
    <row r="19" customFormat="false" ht="15" hidden="false" customHeight="false" outlineLevel="0" collapsed="false">
      <c r="A19" s="10" t="s">
        <v>719</v>
      </c>
      <c r="B19" s="10" t="s">
        <v>720</v>
      </c>
      <c r="C19" s="10" t="s">
        <v>612</v>
      </c>
      <c r="D19" s="10" t="s">
        <v>721</v>
      </c>
      <c r="E19" s="10" t="str">
        <f aca="false">IF(ABS(SUMIFS(04_BANK_TRANSACTIONS!$F$5:$F$168,04_BANK_TRANSACTIONS!$G$5:$G$168,"entrada")-SUM(09_REAL_ESTATE!B17:B21)-SUMIFS(04_BANK_TRANSACTIONS!$F$5:$F$168,04_BANK_TRANSACTIONS!$G$5:$G$168,"entrada",04_BANK_TRANSACTIONS!$C$5:$C$168,"&lt;&gt;2025"))&lt;0.01,"OK","ERRO")</f>
        <v>OK</v>
      </c>
      <c r="F19" s="10" t="s">
        <v>722</v>
      </c>
      <c r="G19" s="10" t="s">
        <v>629</v>
      </c>
      <c r="H19" s="10" t="s">
        <v>723</v>
      </c>
    </row>
    <row r="20" customFormat="false" ht="22.35" hidden="false" customHeight="false" outlineLevel="0" collapsed="false">
      <c r="A20" s="10" t="s">
        <v>724</v>
      </c>
      <c r="B20" s="10" t="s">
        <v>725</v>
      </c>
      <c r="C20" s="10" t="s">
        <v>612</v>
      </c>
      <c r="D20" s="10" t="s">
        <v>721</v>
      </c>
      <c r="E20" s="10" t="str">
        <f aca="false">IF(SUMPRODUCT((COUNTIFS(04_BANK_TRANSACTIONS!$B$5:$B$168,04_BANK_TRANSACTIONS!$B$5:$B$168,04_BANK_TRANSACTIONS!$E$5:$E$168,04_BANK_TRANSACTIONS!$E$5:$E$168,04_BANK_TRANSACTIONS!$F$5:$F$168,04_BANK_TRANSACTIONS!$F$5:$F$168)&gt;1)*1)&gt;0,"REVISAR — há repetições (ex.: Remitly 16/10/2025 3×5.256,40)","OK")</f>
        <v>REVISAR — há repetições (ex.: Remitly 16/10/2025 3×5.256,40)</v>
      </c>
      <c r="F20" s="10" t="s">
        <v>726</v>
      </c>
      <c r="G20" s="10" t="s">
        <v>629</v>
      </c>
      <c r="H20" s="10" t="s">
        <v>723</v>
      </c>
    </row>
    <row r="21" customFormat="false" ht="15" hidden="false" customHeight="false" outlineLevel="0" collapsed="false">
      <c r="A21" s="10" t="s">
        <v>727</v>
      </c>
      <c r="B21" s="10" t="s">
        <v>728</v>
      </c>
      <c r="C21" s="10" t="s">
        <v>706</v>
      </c>
      <c r="D21" s="10" t="s">
        <v>721</v>
      </c>
      <c r="E21" s="10" t="str">
        <f aca="false">IF(06_FOREIGN_TAX_CREDIT!B14&lt;=06_FOREIGN_TAX_CREDIT!B10,"OK","ERRO")</f>
        <v>OK</v>
      </c>
      <c r="F21" s="10" t="s">
        <v>729</v>
      </c>
      <c r="G21" s="10" t="s">
        <v>629</v>
      </c>
      <c r="H21" s="10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6" t="s">
        <v>730</v>
      </c>
    </row>
    <row r="2" customFormat="false" ht="15" hidden="false" customHeight="false" outlineLevel="0" collapsed="false">
      <c r="A2" s="7" t="s">
        <v>15</v>
      </c>
    </row>
    <row r="4" customFormat="false" ht="30" hidden="false" customHeight="true" outlineLevel="0" collapsed="false">
      <c r="A4" s="9" t="s">
        <v>731</v>
      </c>
      <c r="B4" s="9" t="s">
        <v>732</v>
      </c>
      <c r="C4" s="9" t="s">
        <v>41</v>
      </c>
      <c r="D4" s="9" t="s">
        <v>733</v>
      </c>
      <c r="E4" s="9" t="s">
        <v>28</v>
      </c>
    </row>
    <row r="5" customFormat="false" ht="22.35" hidden="false" customHeight="false" outlineLevel="0" collapsed="false">
      <c r="A5" s="10" t="s">
        <v>734</v>
      </c>
      <c r="B5" s="10" t="s">
        <v>735</v>
      </c>
      <c r="C5" s="10" t="s">
        <v>736</v>
      </c>
      <c r="D5" s="10" t="s">
        <v>737</v>
      </c>
      <c r="E5" s="10" t="s">
        <v>738</v>
      </c>
    </row>
    <row r="6" customFormat="false" ht="22.35" hidden="false" customHeight="false" outlineLevel="0" collapsed="false">
      <c r="A6" s="10" t="s">
        <v>739</v>
      </c>
      <c r="B6" s="10" t="s">
        <v>740</v>
      </c>
      <c r="C6" s="10" t="s">
        <v>741</v>
      </c>
      <c r="D6" s="10" t="s">
        <v>742</v>
      </c>
      <c r="E6" s="10" t="s">
        <v>743</v>
      </c>
    </row>
    <row r="7" customFormat="false" ht="15" hidden="false" customHeight="false" outlineLevel="0" collapsed="false">
      <c r="A7" s="10" t="s">
        <v>744</v>
      </c>
      <c r="B7" s="10" t="s">
        <v>745</v>
      </c>
      <c r="C7" s="10" t="s">
        <v>629</v>
      </c>
      <c r="D7" s="10" t="s">
        <v>746</v>
      </c>
      <c r="E7" s="10" t="s">
        <v>743</v>
      </c>
    </row>
    <row r="8" customFormat="false" ht="15" hidden="false" customHeight="false" outlineLevel="0" collapsed="false">
      <c r="A8" s="10" t="s">
        <v>747</v>
      </c>
      <c r="B8" s="10" t="s">
        <v>748</v>
      </c>
      <c r="C8" s="10" t="s">
        <v>749</v>
      </c>
      <c r="D8" s="10" t="s">
        <v>750</v>
      </c>
      <c r="E8" s="10" t="s">
        <v>751</v>
      </c>
    </row>
    <row r="9" customFormat="false" ht="22.35" hidden="false" customHeight="false" outlineLevel="0" collapsed="false">
      <c r="A9" s="10" t="s">
        <v>708</v>
      </c>
      <c r="B9" s="10" t="s">
        <v>752</v>
      </c>
      <c r="C9" s="10" t="s">
        <v>706</v>
      </c>
      <c r="D9" s="10" t="s">
        <v>753</v>
      </c>
      <c r="E9" s="10" t="s">
        <v>751</v>
      </c>
    </row>
    <row r="10" customFormat="false" ht="22.35" hidden="false" customHeight="false" outlineLevel="0" collapsed="false">
      <c r="A10" s="10" t="s">
        <v>754</v>
      </c>
      <c r="B10" s="10" t="s">
        <v>755</v>
      </c>
      <c r="C10" s="10" t="s">
        <v>756</v>
      </c>
      <c r="D10" s="10" t="s">
        <v>757</v>
      </c>
      <c r="E10" s="10" t="s">
        <v>758</v>
      </c>
    </row>
    <row r="11" customFormat="false" ht="15" hidden="false" customHeight="false" outlineLevel="0" collapsed="false">
      <c r="A11" s="10" t="s">
        <v>759</v>
      </c>
      <c r="B11" s="10" t="s">
        <v>760</v>
      </c>
      <c r="C11" s="10" t="s">
        <v>629</v>
      </c>
      <c r="D11" s="10" t="s">
        <v>753</v>
      </c>
      <c r="E11" s="10" t="s">
        <v>751</v>
      </c>
    </row>
    <row r="12" customFormat="false" ht="22.35" hidden="false" customHeight="false" outlineLevel="0" collapsed="false">
      <c r="A12" s="10" t="s">
        <v>761</v>
      </c>
      <c r="B12" s="10" t="s">
        <v>762</v>
      </c>
      <c r="C12" s="10" t="s">
        <v>741</v>
      </c>
      <c r="D12" s="10" t="s">
        <v>763</v>
      </c>
      <c r="E12" s="10" t="s">
        <v>743</v>
      </c>
    </row>
    <row r="13" customFormat="false" ht="15" hidden="false" customHeight="false" outlineLevel="0" collapsed="false">
      <c r="A13" s="10" t="s">
        <v>764</v>
      </c>
      <c r="B13" s="10" t="s">
        <v>765</v>
      </c>
      <c r="C13" s="10" t="s">
        <v>741</v>
      </c>
      <c r="D13" s="10" t="s">
        <v>766</v>
      </c>
      <c r="E13" s="10" t="s">
        <v>743</v>
      </c>
    </row>
    <row r="14" customFormat="false" ht="22.35" hidden="false" customHeight="false" outlineLevel="0" collapsed="false">
      <c r="A14" s="10" t="s">
        <v>767</v>
      </c>
      <c r="B14" s="10" t="s">
        <v>768</v>
      </c>
      <c r="C14" s="10" t="s">
        <v>741</v>
      </c>
      <c r="D14" s="10" t="s">
        <v>769</v>
      </c>
      <c r="E14" s="10" t="s">
        <v>743</v>
      </c>
    </row>
    <row r="15" customFormat="false" ht="22.35" hidden="false" customHeight="false" outlineLevel="0" collapsed="false">
      <c r="A15" s="10" t="s">
        <v>770</v>
      </c>
      <c r="B15" s="10" t="s">
        <v>771</v>
      </c>
      <c r="C15" s="10" t="s">
        <v>772</v>
      </c>
      <c r="D15" s="10" t="s">
        <v>773</v>
      </c>
      <c r="E15" s="10" t="s">
        <v>751</v>
      </c>
    </row>
    <row r="16" customFormat="false" ht="22.35" hidden="false" customHeight="false" outlineLevel="0" collapsed="false">
      <c r="A16" s="10" t="s">
        <v>774</v>
      </c>
      <c r="B16" s="10" t="s">
        <v>775</v>
      </c>
      <c r="C16" s="10" t="s">
        <v>776</v>
      </c>
      <c r="D16" s="10" t="s">
        <v>777</v>
      </c>
      <c r="E16" s="10" t="s">
        <v>778</v>
      </c>
    </row>
    <row r="17" customFormat="false" ht="22.35" hidden="false" customHeight="false" outlineLevel="0" collapsed="false">
      <c r="A17" s="10" t="s">
        <v>779</v>
      </c>
      <c r="B17" s="10" t="s">
        <v>780</v>
      </c>
      <c r="C17" s="10" t="s">
        <v>675</v>
      </c>
      <c r="D17" s="10" t="s">
        <v>781</v>
      </c>
      <c r="E17" s="10" t="s">
        <v>782</v>
      </c>
    </row>
    <row r="18" customFormat="false" ht="22.35" hidden="false" customHeight="false" outlineLevel="0" collapsed="false">
      <c r="A18" s="10" t="s">
        <v>783</v>
      </c>
      <c r="B18" s="10" t="s">
        <v>784</v>
      </c>
      <c r="C18" s="10" t="s">
        <v>785</v>
      </c>
      <c r="D18" s="10" t="s">
        <v>786</v>
      </c>
      <c r="E18" s="10" t="s">
        <v>782</v>
      </c>
    </row>
    <row r="19" customFormat="false" ht="15" hidden="false" customHeight="false" outlineLevel="0" collapsed="false">
      <c r="A19" s="10" t="s">
        <v>787</v>
      </c>
      <c r="B19" s="10" t="s">
        <v>788</v>
      </c>
      <c r="C19" s="10" t="s">
        <v>789</v>
      </c>
      <c r="D19" s="10" t="s">
        <v>790</v>
      </c>
      <c r="E19" s="10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6" t="s">
        <v>792</v>
      </c>
    </row>
    <row r="2" customFormat="false" ht="15" hidden="false" customHeight="false" outlineLevel="0" collapsed="false">
      <c r="A2" s="7" t="s">
        <v>15</v>
      </c>
    </row>
    <row r="3" customFormat="false" ht="30" hidden="false" customHeight="true" outlineLevel="0" collapsed="false">
      <c r="A3" s="9" t="s">
        <v>793</v>
      </c>
      <c r="B3" s="9" t="s">
        <v>363</v>
      </c>
      <c r="C3" s="9"/>
      <c r="D3" s="9"/>
      <c r="E3" s="9" t="s">
        <v>794</v>
      </c>
    </row>
    <row r="4" customFormat="false" ht="15" hidden="false" customHeight="false" outlineLevel="0" collapsed="false">
      <c r="A4" s="15" t="s">
        <v>795</v>
      </c>
      <c r="B4" s="39" t="n">
        <v>46295</v>
      </c>
      <c r="E4" s="10" t="s">
        <v>796</v>
      </c>
    </row>
    <row r="5" customFormat="false" ht="32.8" hidden="false" customHeight="false" outlineLevel="0" collapsed="false">
      <c r="A5" s="15" t="s">
        <v>797</v>
      </c>
      <c r="B5" s="39" t="n">
        <v>43125</v>
      </c>
      <c r="E5" s="10" t="s">
        <v>798</v>
      </c>
    </row>
    <row r="6" customFormat="false" ht="32.8" hidden="false" customHeight="false" outlineLevel="0" collapsed="false">
      <c r="A6" s="15" t="s">
        <v>799</v>
      </c>
      <c r="B6" s="19" t="n">
        <f aca="false">EDATE(00_PARAMETROS!$B$5,12)</f>
        <v>43490</v>
      </c>
      <c r="E6" s="10" t="s">
        <v>800</v>
      </c>
    </row>
    <row r="7" customFormat="false" ht="15" hidden="false" customHeight="false" outlineLevel="0" collapsed="false">
      <c r="A7" s="15" t="s">
        <v>801</v>
      </c>
      <c r="B7" s="23" t="n">
        <v>10000</v>
      </c>
      <c r="E7" s="10" t="s">
        <v>802</v>
      </c>
    </row>
    <row r="8" customFormat="false" ht="15" hidden="false" customHeight="false" outlineLevel="0" collapsed="false">
      <c r="A8" s="15" t="s">
        <v>803</v>
      </c>
      <c r="B8" s="40" t="n">
        <v>0.0033</v>
      </c>
      <c r="E8" s="10" t="s">
        <v>804</v>
      </c>
    </row>
    <row r="9" customFormat="false" ht="15" hidden="false" customHeight="false" outlineLevel="0" collapsed="false">
      <c r="A9" s="15" t="s">
        <v>805</v>
      </c>
      <c r="B9" s="40" t="n">
        <v>0.2</v>
      </c>
      <c r="E9" s="10" t="s">
        <v>806</v>
      </c>
    </row>
    <row r="10" customFormat="false" ht="22.35" hidden="false" customHeight="false" outlineLevel="0" collapsed="false">
      <c r="A10" s="15" t="s">
        <v>807</v>
      </c>
      <c r="B10" s="40" t="n">
        <v>0.75</v>
      </c>
      <c r="E10" s="10" t="s">
        <v>808</v>
      </c>
    </row>
    <row r="11" customFormat="false" ht="22.35" hidden="false" customHeight="false" outlineLevel="0" collapsed="false">
      <c r="A11" s="15" t="s">
        <v>809</v>
      </c>
      <c r="B11" s="40" t="n">
        <v>0.01</v>
      </c>
      <c r="E11" s="10" t="s">
        <v>810</v>
      </c>
    </row>
    <row r="12" customFormat="false" ht="32.8" hidden="false" customHeight="false" outlineLevel="0" collapsed="false">
      <c r="A12" s="15" t="s">
        <v>811</v>
      </c>
      <c r="B12" s="40" t="n">
        <v>0.15</v>
      </c>
      <c r="E12" s="10" t="s">
        <v>812</v>
      </c>
    </row>
    <row r="13" customFormat="false" ht="22.35" hidden="false" customHeight="false" outlineLevel="0" collapsed="false">
      <c r="A13" s="15" t="s">
        <v>813</v>
      </c>
      <c r="B13" s="40" t="n">
        <v>0.25</v>
      </c>
      <c r="E13" s="10" t="s">
        <v>814</v>
      </c>
    </row>
    <row r="15" customFormat="false" ht="22.35" hidden="false" customHeight="false" outlineLevel="0" collapsed="false">
      <c r="A15" s="15" t="s">
        <v>815</v>
      </c>
    </row>
    <row r="16" customFormat="false" ht="30" hidden="false" customHeight="true" outlineLevel="0" collapsed="false">
      <c r="A16" s="9" t="s">
        <v>816</v>
      </c>
      <c r="B16" s="9" t="s">
        <v>817</v>
      </c>
      <c r="C16" s="9" t="s">
        <v>818</v>
      </c>
      <c r="D16" s="9"/>
      <c r="E16" s="9" t="s">
        <v>819</v>
      </c>
    </row>
    <row r="17" customFormat="false" ht="22.35" hidden="false" customHeight="false" outlineLevel="0" collapsed="false">
      <c r="A17" s="11" t="n">
        <v>0</v>
      </c>
      <c r="B17" s="24" t="n">
        <v>0</v>
      </c>
      <c r="C17" s="11" t="n">
        <v>0</v>
      </c>
      <c r="D17" s="10"/>
      <c r="E17" s="10" t="s">
        <v>820</v>
      </c>
    </row>
    <row r="18" customFormat="false" ht="15" hidden="false" customHeight="false" outlineLevel="0" collapsed="false">
      <c r="A18" s="11" t="n">
        <v>22847.77</v>
      </c>
      <c r="B18" s="24" t="n">
        <v>0.075</v>
      </c>
      <c r="C18" s="11" t="n">
        <v>1713.58</v>
      </c>
      <c r="D18" s="10"/>
      <c r="E18" s="10"/>
    </row>
    <row r="19" customFormat="false" ht="15" hidden="false" customHeight="false" outlineLevel="0" collapsed="false">
      <c r="A19" s="11" t="n">
        <v>33919.81</v>
      </c>
      <c r="B19" s="24" t="n">
        <v>0.15</v>
      </c>
      <c r="C19" s="11" t="n">
        <v>4257.57</v>
      </c>
      <c r="D19" s="10"/>
      <c r="E19" s="10"/>
    </row>
    <row r="20" customFormat="false" ht="15" hidden="false" customHeight="false" outlineLevel="0" collapsed="false">
      <c r="A20" s="11" t="n">
        <v>45012.61</v>
      </c>
      <c r="B20" s="24" t="n">
        <v>0.225</v>
      </c>
      <c r="C20" s="11" t="n">
        <v>7633.51</v>
      </c>
      <c r="D20" s="10"/>
      <c r="E20" s="10"/>
    </row>
    <row r="21" customFormat="false" ht="15" hidden="false" customHeight="false" outlineLevel="0" collapsed="false">
      <c r="A21" s="11" t="n">
        <v>55976.17</v>
      </c>
      <c r="B21" s="24" t="n">
        <v>0.275</v>
      </c>
      <c r="C21" s="11" t="n">
        <v>10432.32</v>
      </c>
      <c r="D21" s="10"/>
      <c r="E21" s="10"/>
    </row>
    <row r="23" customFormat="false" ht="22.35" hidden="false" customHeight="false" outlineLevel="0" collapsed="false">
      <c r="A23" s="15" t="s">
        <v>821</v>
      </c>
    </row>
    <row r="24" customFormat="false" ht="30" hidden="false" customHeight="true" outlineLevel="0" collapsed="false">
      <c r="A24" s="9" t="s">
        <v>816</v>
      </c>
      <c r="B24" s="9" t="s">
        <v>817</v>
      </c>
      <c r="C24" s="9" t="s">
        <v>818</v>
      </c>
      <c r="D24" s="9"/>
      <c r="E24" s="9" t="s">
        <v>819</v>
      </c>
    </row>
    <row r="25" customFormat="false" ht="15" hidden="false" customHeight="false" outlineLevel="0" collapsed="false">
      <c r="A25" s="11" t="n">
        <v>0</v>
      </c>
      <c r="B25" s="24" t="n">
        <v>0</v>
      </c>
      <c r="C25" s="11" t="n">
        <v>0</v>
      </c>
      <c r="D25" s="10"/>
      <c r="E25" s="10" t="s">
        <v>822</v>
      </c>
    </row>
    <row r="26" customFormat="false" ht="15" hidden="false" customHeight="false" outlineLevel="0" collapsed="false">
      <c r="A26" s="11" t="n">
        <v>1903.99</v>
      </c>
      <c r="B26" s="24" t="n">
        <v>0.075</v>
      </c>
      <c r="C26" s="11" t="n">
        <v>142.8</v>
      </c>
      <c r="D26" s="10"/>
      <c r="E26" s="10"/>
    </row>
    <row r="27" customFormat="false" ht="15" hidden="false" customHeight="false" outlineLevel="0" collapsed="false">
      <c r="A27" s="11" t="n">
        <v>2826.66</v>
      </c>
      <c r="B27" s="24" t="n">
        <v>0.15</v>
      </c>
      <c r="C27" s="11" t="n">
        <v>354.8</v>
      </c>
      <c r="D27" s="10"/>
      <c r="E27" s="10"/>
    </row>
    <row r="28" customFormat="false" ht="15" hidden="false" customHeight="false" outlineLevel="0" collapsed="false">
      <c r="A28" s="11" t="n">
        <v>3751.06</v>
      </c>
      <c r="B28" s="24" t="n">
        <v>0.225</v>
      </c>
      <c r="C28" s="11" t="n">
        <v>636.13</v>
      </c>
      <c r="D28" s="10"/>
      <c r="E28" s="10"/>
    </row>
    <row r="29" customFormat="false" ht="15" hidden="false" customHeight="false" outlineLevel="0" collapsed="false">
      <c r="A29" s="11" t="n">
        <v>4664.69</v>
      </c>
      <c r="B29" s="24" t="n">
        <v>0.275</v>
      </c>
      <c r="C29" s="11" t="n">
        <v>869.36</v>
      </c>
      <c r="D29" s="10"/>
      <c r="E29" s="10"/>
    </row>
    <row r="31" customFormat="false" ht="15" hidden="false" customHeight="false" outlineLevel="0" collapsed="false">
      <c r="A31" s="15" t="s">
        <v>823</v>
      </c>
    </row>
    <row r="32" customFormat="false" ht="15" hidden="false" customHeight="false" outlineLevel="0" collapsed="false">
      <c r="A32" s="15" t="s">
        <v>824</v>
      </c>
      <c r="B32" s="24" t="n">
        <v>0.2</v>
      </c>
      <c r="E32" s="10" t="s">
        <v>825</v>
      </c>
    </row>
    <row r="33" customFormat="false" ht="22.35" hidden="false" customHeight="false" outlineLevel="0" collapsed="false">
      <c r="A33" s="15" t="s">
        <v>826</v>
      </c>
      <c r="B33" s="11" t="n">
        <v>16754.34</v>
      </c>
      <c r="E33" s="10" t="s">
        <v>827</v>
      </c>
    </row>
    <row r="34" customFormat="false" ht="15" hidden="false" customHeight="false" outlineLevel="0" collapsed="false">
      <c r="A34" s="15" t="s">
        <v>828</v>
      </c>
      <c r="B34" s="11" t="n">
        <v>2275.08</v>
      </c>
      <c r="E34" s="10" t="s">
        <v>829</v>
      </c>
    </row>
    <row r="35" customFormat="false" ht="22.35" hidden="false" customHeight="false" outlineLevel="0" collapsed="false">
      <c r="A35" s="15" t="s">
        <v>830</v>
      </c>
      <c r="B35" s="41" t="n">
        <v>3</v>
      </c>
      <c r="E35" s="10" t="s">
        <v>831</v>
      </c>
    </row>
    <row r="36" customFormat="false" ht="22.35" hidden="false" customHeight="false" outlineLevel="0" collapsed="false">
      <c r="A36" s="15" t="s">
        <v>832</v>
      </c>
      <c r="B36" s="11" t="n">
        <v>28559.7</v>
      </c>
      <c r="E36" s="10" t="s">
        <v>833</v>
      </c>
    </row>
    <row r="37" customFormat="false" ht="22.35" hidden="false" customHeight="false" outlineLevel="0" collapsed="false">
      <c r="A37" s="15" t="s">
        <v>834</v>
      </c>
      <c r="B37" s="11" t="n">
        <v>165.74</v>
      </c>
      <c r="E37" s="10" t="s">
        <v>835</v>
      </c>
    </row>
    <row r="39" customFormat="false" ht="22.35" hidden="false" customHeight="false" outlineLevel="0" collapsed="false">
      <c r="A39" s="15" t="s">
        <v>836</v>
      </c>
    </row>
    <row r="40" customFormat="false" ht="30" hidden="false" customHeight="true" outlineLevel="0" collapsed="false">
      <c r="A40" s="9" t="s">
        <v>837</v>
      </c>
      <c r="B40" s="9" t="s">
        <v>162</v>
      </c>
      <c r="C40" s="9" t="s">
        <v>838</v>
      </c>
      <c r="D40" s="9" t="s">
        <v>839</v>
      </c>
      <c r="E40" s="9" t="s">
        <v>840</v>
      </c>
    </row>
    <row r="41" customFormat="false" ht="22.35" hidden="false" customHeight="false" outlineLevel="0" collapsed="false">
      <c r="A41" s="10" t="s">
        <v>191</v>
      </c>
      <c r="B41" s="24" t="n">
        <v>0</v>
      </c>
      <c r="C41" s="10" t="s">
        <v>629</v>
      </c>
      <c r="D41" s="10" t="s">
        <v>841</v>
      </c>
      <c r="E41" s="10" t="s">
        <v>842</v>
      </c>
    </row>
    <row r="42" customFormat="false" ht="22.35" hidden="false" customHeight="false" outlineLevel="0" collapsed="false">
      <c r="A42" s="10" t="s">
        <v>179</v>
      </c>
      <c r="B42" s="24" t="n">
        <v>0</v>
      </c>
      <c r="C42" s="10" t="s">
        <v>629</v>
      </c>
      <c r="D42" s="10" t="s">
        <v>71</v>
      </c>
      <c r="E42" s="10" t="s">
        <v>843</v>
      </c>
    </row>
    <row r="43" customFormat="false" ht="15" hidden="false" customHeight="false" outlineLevel="0" collapsed="false">
      <c r="A43" s="10" t="s">
        <v>844</v>
      </c>
      <c r="B43" s="24" t="n">
        <v>0</v>
      </c>
      <c r="C43" s="10" t="s">
        <v>629</v>
      </c>
      <c r="D43" s="10" t="s">
        <v>71</v>
      </c>
      <c r="E43" s="10" t="s">
        <v>845</v>
      </c>
    </row>
    <row r="44" customFormat="false" ht="22.35" hidden="false" customHeight="false" outlineLevel="0" collapsed="false">
      <c r="A44" s="10" t="s">
        <v>283</v>
      </c>
      <c r="B44" s="24" t="n">
        <v>0</v>
      </c>
      <c r="C44" s="10" t="s">
        <v>629</v>
      </c>
      <c r="D44" s="10" t="s">
        <v>71</v>
      </c>
      <c r="E44" s="10" t="s">
        <v>846</v>
      </c>
    </row>
    <row r="45" customFormat="false" ht="15" hidden="false" customHeight="false" outlineLevel="0" collapsed="false">
      <c r="A45" s="10" t="s">
        <v>847</v>
      </c>
      <c r="B45" s="24" t="n">
        <v>0</v>
      </c>
      <c r="C45" s="10" t="s">
        <v>629</v>
      </c>
      <c r="D45" s="10" t="s">
        <v>71</v>
      </c>
      <c r="E45" s="10" t="s">
        <v>848</v>
      </c>
    </row>
    <row r="46" customFormat="false" ht="22.35" hidden="false" customHeight="false" outlineLevel="0" collapsed="false">
      <c r="A46" s="10" t="s">
        <v>849</v>
      </c>
      <c r="B46" s="24" t="n">
        <v>0</v>
      </c>
      <c r="C46" s="10" t="s">
        <v>629</v>
      </c>
      <c r="D46" s="10" t="s">
        <v>71</v>
      </c>
      <c r="E46" s="10" t="s">
        <v>850</v>
      </c>
    </row>
    <row r="47" customFormat="false" ht="15" hidden="false" customHeight="false" outlineLevel="0" collapsed="false">
      <c r="A47" s="10" t="s">
        <v>851</v>
      </c>
      <c r="B47" s="24" t="n">
        <v>0</v>
      </c>
      <c r="C47" s="10" t="s">
        <v>629</v>
      </c>
      <c r="D47" s="10" t="s">
        <v>852</v>
      </c>
      <c r="E47" s="10" t="s">
        <v>853</v>
      </c>
    </row>
    <row r="48" customFormat="false" ht="15" hidden="false" customHeight="false" outlineLevel="0" collapsed="false">
      <c r="A48" s="10" t="s">
        <v>214</v>
      </c>
      <c r="B48" s="24" t="n">
        <v>0</v>
      </c>
      <c r="C48" s="10" t="s">
        <v>629</v>
      </c>
      <c r="D48" s="10" t="s">
        <v>71</v>
      </c>
      <c r="E48" s="10" t="s">
        <v>854</v>
      </c>
    </row>
    <row r="49" customFormat="false" ht="22.35" hidden="false" customHeight="false" outlineLevel="0" collapsed="false">
      <c r="A49" s="10" t="s">
        <v>259</v>
      </c>
      <c r="B49" s="24" t="n">
        <v>0</v>
      </c>
      <c r="C49" s="10" t="s">
        <v>629</v>
      </c>
      <c r="D49" s="10" t="s">
        <v>71</v>
      </c>
      <c r="E49" s="10" t="s">
        <v>855</v>
      </c>
    </row>
    <row r="50" customFormat="false" ht="32.8" hidden="false" customHeight="false" outlineLevel="0" collapsed="false">
      <c r="A50" s="10" t="s">
        <v>856</v>
      </c>
      <c r="B50" s="24" t="n">
        <v>0.15</v>
      </c>
      <c r="C50" s="10" t="s">
        <v>857</v>
      </c>
      <c r="D50" s="10" t="s">
        <v>377</v>
      </c>
      <c r="E50" s="10" t="s">
        <v>858</v>
      </c>
    </row>
    <row r="51" customFormat="false" ht="22.35" hidden="false" customHeight="false" outlineLevel="0" collapsed="false">
      <c r="A51" s="10" t="s">
        <v>859</v>
      </c>
      <c r="B51" s="24" t="n">
        <v>0.15</v>
      </c>
      <c r="C51" s="10" t="s">
        <v>860</v>
      </c>
      <c r="D51" s="10" t="s">
        <v>377</v>
      </c>
      <c r="E51" s="10" t="s">
        <v>861</v>
      </c>
    </row>
    <row r="52" customFormat="false" ht="15" hidden="false" customHeight="false" outlineLevel="0" collapsed="false">
      <c r="A52" s="10" t="s">
        <v>862</v>
      </c>
      <c r="B52" s="24" t="n">
        <v>0.25</v>
      </c>
      <c r="C52" s="10" t="s">
        <v>860</v>
      </c>
      <c r="D52" s="10" t="s">
        <v>377</v>
      </c>
      <c r="E52" s="10" t="s">
        <v>863</v>
      </c>
    </row>
    <row r="53" customFormat="false" ht="15" hidden="false" customHeight="false" outlineLevel="0" collapsed="false">
      <c r="A53" s="10" t="s">
        <v>864</v>
      </c>
      <c r="B53" s="24" t="n">
        <v>0.15</v>
      </c>
      <c r="C53" s="10" t="s">
        <v>860</v>
      </c>
      <c r="D53" s="10" t="s">
        <v>377</v>
      </c>
      <c r="E53" s="10" t="s">
        <v>865</v>
      </c>
    </row>
    <row r="54" customFormat="false" ht="15" hidden="false" customHeight="false" outlineLevel="0" collapsed="false">
      <c r="A54" s="10" t="s">
        <v>184</v>
      </c>
      <c r="B54" s="24" t="n">
        <v>0</v>
      </c>
      <c r="C54" s="10" t="s">
        <v>629</v>
      </c>
      <c r="D54" s="10" t="s">
        <v>107</v>
      </c>
      <c r="E54" s="10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6" t="s">
        <v>867</v>
      </c>
    </row>
    <row r="2" customFormat="false" ht="15" hidden="false" customHeight="false" outlineLevel="0" collapsed="false">
      <c r="A2" s="7" t="s">
        <v>15</v>
      </c>
    </row>
    <row r="3" customFormat="false" ht="30" hidden="false" customHeight="true" outlineLevel="0" collapsed="false">
      <c r="A3" s="9" t="s">
        <v>868</v>
      </c>
      <c r="B3" s="9" t="s">
        <v>869</v>
      </c>
      <c r="C3" s="9" t="s">
        <v>819</v>
      </c>
    </row>
    <row r="4" customFormat="false" ht="15" hidden="false" customHeight="false" outlineLevel="0" collapsed="false">
      <c r="A4" s="42" t="n">
        <v>43466</v>
      </c>
      <c r="B4" s="24" t="n">
        <v>0.0054</v>
      </c>
      <c r="C4" s="10" t="s">
        <v>870</v>
      </c>
    </row>
    <row r="5" customFormat="false" ht="15" hidden="false" customHeight="false" outlineLevel="0" collapsed="false">
      <c r="A5" s="42" t="n">
        <v>43497</v>
      </c>
      <c r="B5" s="24" t="n">
        <v>0.0049</v>
      </c>
      <c r="C5" s="10" t="s">
        <v>870</v>
      </c>
    </row>
    <row r="6" customFormat="false" ht="15" hidden="false" customHeight="false" outlineLevel="0" collapsed="false">
      <c r="A6" s="42" t="n">
        <v>43525</v>
      </c>
      <c r="B6" s="24" t="n">
        <v>0.0047</v>
      </c>
      <c r="C6" s="10" t="s">
        <v>870</v>
      </c>
    </row>
    <row r="7" customFormat="false" ht="15" hidden="false" customHeight="false" outlineLevel="0" collapsed="false">
      <c r="A7" s="42" t="n">
        <v>43556</v>
      </c>
      <c r="B7" s="24" t="n">
        <v>0.0052</v>
      </c>
      <c r="C7" s="10" t="s">
        <v>870</v>
      </c>
    </row>
    <row r="8" customFormat="false" ht="15" hidden="false" customHeight="false" outlineLevel="0" collapsed="false">
      <c r="A8" s="42" t="n">
        <v>43586</v>
      </c>
      <c r="B8" s="24" t="n">
        <v>0.0054</v>
      </c>
      <c r="C8" s="10" t="s">
        <v>870</v>
      </c>
    </row>
    <row r="9" customFormat="false" ht="15" hidden="false" customHeight="false" outlineLevel="0" collapsed="false">
      <c r="A9" s="42" t="n">
        <v>43617</v>
      </c>
      <c r="B9" s="24" t="n">
        <v>0.0047</v>
      </c>
      <c r="C9" s="10" t="s">
        <v>870</v>
      </c>
    </row>
    <row r="10" customFormat="false" ht="15" hidden="false" customHeight="false" outlineLevel="0" collapsed="false">
      <c r="A10" s="42" t="n">
        <v>43647</v>
      </c>
      <c r="B10" s="24" t="n">
        <v>0.0057</v>
      </c>
      <c r="C10" s="10" t="s">
        <v>870</v>
      </c>
    </row>
    <row r="11" customFormat="false" ht="15" hidden="false" customHeight="false" outlineLevel="0" collapsed="false">
      <c r="A11" s="42" t="n">
        <v>43678</v>
      </c>
      <c r="B11" s="24" t="n">
        <v>0.005</v>
      </c>
      <c r="C11" s="10" t="s">
        <v>870</v>
      </c>
    </row>
    <row r="12" customFormat="false" ht="15" hidden="false" customHeight="false" outlineLevel="0" collapsed="false">
      <c r="A12" s="42" t="n">
        <v>43709</v>
      </c>
      <c r="B12" s="24" t="n">
        <v>0.0046</v>
      </c>
      <c r="C12" s="10" t="s">
        <v>870</v>
      </c>
    </row>
    <row r="13" customFormat="false" ht="15" hidden="false" customHeight="false" outlineLevel="0" collapsed="false">
      <c r="A13" s="42" t="n">
        <v>43739</v>
      </c>
      <c r="B13" s="24" t="n">
        <v>0.0048</v>
      </c>
      <c r="C13" s="10" t="s">
        <v>870</v>
      </c>
    </row>
    <row r="14" customFormat="false" ht="15" hidden="false" customHeight="false" outlineLevel="0" collapsed="false">
      <c r="A14" s="42" t="n">
        <v>43770</v>
      </c>
      <c r="B14" s="24" t="n">
        <v>0.0038</v>
      </c>
      <c r="C14" s="10" t="s">
        <v>870</v>
      </c>
    </row>
    <row r="15" customFormat="false" ht="15" hidden="false" customHeight="false" outlineLevel="0" collapsed="false">
      <c r="A15" s="42" t="n">
        <v>43800</v>
      </c>
      <c r="B15" s="24" t="n">
        <v>0.0037</v>
      </c>
      <c r="C15" s="10" t="s">
        <v>870</v>
      </c>
    </row>
    <row r="16" customFormat="false" ht="15" hidden="false" customHeight="false" outlineLevel="0" collapsed="false">
      <c r="A16" s="42" t="n">
        <v>43831</v>
      </c>
      <c r="B16" s="24" t="n">
        <v>0.0038</v>
      </c>
      <c r="C16" s="10" t="s">
        <v>870</v>
      </c>
    </row>
    <row r="17" customFormat="false" ht="15" hidden="false" customHeight="false" outlineLevel="0" collapsed="false">
      <c r="A17" s="42" t="n">
        <v>43862</v>
      </c>
      <c r="B17" s="24" t="n">
        <v>0.0029</v>
      </c>
      <c r="C17" s="10" t="s">
        <v>870</v>
      </c>
    </row>
    <row r="18" customFormat="false" ht="15" hidden="false" customHeight="false" outlineLevel="0" collapsed="false">
      <c r="A18" s="42" t="n">
        <v>43891</v>
      </c>
      <c r="B18" s="24" t="n">
        <v>0.0034</v>
      </c>
      <c r="C18" s="10" t="s">
        <v>870</v>
      </c>
    </row>
    <row r="19" customFormat="false" ht="15" hidden="false" customHeight="false" outlineLevel="0" collapsed="false">
      <c r="A19" s="42" t="n">
        <v>43922</v>
      </c>
      <c r="B19" s="24" t="n">
        <v>0.0028</v>
      </c>
      <c r="C19" s="10" t="s">
        <v>870</v>
      </c>
    </row>
    <row r="20" customFormat="false" ht="15" hidden="false" customHeight="false" outlineLevel="0" collapsed="false">
      <c r="A20" s="42" t="n">
        <v>43952</v>
      </c>
      <c r="B20" s="24" t="n">
        <v>0.0024</v>
      </c>
      <c r="C20" s="10" t="s">
        <v>870</v>
      </c>
    </row>
    <row r="21" customFormat="false" ht="15" hidden="false" customHeight="false" outlineLevel="0" collapsed="false">
      <c r="A21" s="42" t="n">
        <v>43983</v>
      </c>
      <c r="B21" s="24" t="n">
        <v>0.0021</v>
      </c>
      <c r="C21" s="10" t="s">
        <v>870</v>
      </c>
    </row>
    <row r="22" customFormat="false" ht="15" hidden="false" customHeight="false" outlineLevel="0" collapsed="false">
      <c r="A22" s="42" t="n">
        <v>44013</v>
      </c>
      <c r="B22" s="24" t="n">
        <v>0.0019</v>
      </c>
      <c r="C22" s="10" t="s">
        <v>870</v>
      </c>
    </row>
    <row r="23" customFormat="false" ht="15" hidden="false" customHeight="false" outlineLevel="0" collapsed="false">
      <c r="A23" s="42" t="n">
        <v>44044</v>
      </c>
      <c r="B23" s="24" t="n">
        <v>0.0016</v>
      </c>
      <c r="C23" s="10" t="s">
        <v>870</v>
      </c>
    </row>
    <row r="24" customFormat="false" ht="15" hidden="false" customHeight="false" outlineLevel="0" collapsed="false">
      <c r="A24" s="42" t="n">
        <v>44075</v>
      </c>
      <c r="B24" s="24" t="n">
        <v>0.0016</v>
      </c>
      <c r="C24" s="10" t="s">
        <v>870</v>
      </c>
    </row>
    <row r="25" customFormat="false" ht="15" hidden="false" customHeight="false" outlineLevel="0" collapsed="false">
      <c r="A25" s="42" t="n">
        <v>44105</v>
      </c>
      <c r="B25" s="24" t="n">
        <v>0.0016</v>
      </c>
      <c r="C25" s="10" t="s">
        <v>870</v>
      </c>
    </row>
    <row r="26" customFormat="false" ht="15" hidden="false" customHeight="false" outlineLevel="0" collapsed="false">
      <c r="A26" s="42" t="n">
        <v>44136</v>
      </c>
      <c r="B26" s="24" t="n">
        <v>0.0015</v>
      </c>
      <c r="C26" s="10" t="s">
        <v>870</v>
      </c>
    </row>
    <row r="27" customFormat="false" ht="15" hidden="false" customHeight="false" outlineLevel="0" collapsed="false">
      <c r="A27" s="42" t="n">
        <v>44166</v>
      </c>
      <c r="B27" s="24" t="n">
        <v>0.0016</v>
      </c>
      <c r="C27" s="10" t="s">
        <v>870</v>
      </c>
    </row>
    <row r="28" customFormat="false" ht="15" hidden="false" customHeight="false" outlineLevel="0" collapsed="false">
      <c r="A28" s="42" t="n">
        <v>44197</v>
      </c>
      <c r="B28" s="24" t="n">
        <v>0.0015</v>
      </c>
      <c r="C28" s="10" t="s">
        <v>870</v>
      </c>
    </row>
    <row r="29" customFormat="false" ht="15" hidden="false" customHeight="false" outlineLevel="0" collapsed="false">
      <c r="A29" s="42" t="n">
        <v>44228</v>
      </c>
      <c r="B29" s="24" t="n">
        <v>0.0013</v>
      </c>
      <c r="C29" s="10" t="s">
        <v>870</v>
      </c>
    </row>
    <row r="30" customFormat="false" ht="15" hidden="false" customHeight="false" outlineLevel="0" collapsed="false">
      <c r="A30" s="42" t="n">
        <v>44256</v>
      </c>
      <c r="B30" s="24" t="n">
        <v>0.002</v>
      </c>
      <c r="C30" s="10" t="s">
        <v>870</v>
      </c>
    </row>
    <row r="31" customFormat="false" ht="15" hidden="false" customHeight="false" outlineLevel="0" collapsed="false">
      <c r="A31" s="42" t="n">
        <v>44287</v>
      </c>
      <c r="B31" s="24" t="n">
        <v>0.0021</v>
      </c>
      <c r="C31" s="10" t="s">
        <v>870</v>
      </c>
    </row>
    <row r="32" customFormat="false" ht="15" hidden="false" customHeight="false" outlineLevel="0" collapsed="false">
      <c r="A32" s="42" t="n">
        <v>44317</v>
      </c>
      <c r="B32" s="24" t="n">
        <v>0.0027</v>
      </c>
      <c r="C32" s="10" t="s">
        <v>870</v>
      </c>
    </row>
    <row r="33" customFormat="false" ht="15" hidden="false" customHeight="false" outlineLevel="0" collapsed="false">
      <c r="A33" s="42" t="n">
        <v>44348</v>
      </c>
      <c r="B33" s="24" t="n">
        <v>0.0031</v>
      </c>
      <c r="C33" s="10" t="s">
        <v>870</v>
      </c>
    </row>
    <row r="34" customFormat="false" ht="15" hidden="false" customHeight="false" outlineLevel="0" collapsed="false">
      <c r="A34" s="42" t="n">
        <v>44378</v>
      </c>
      <c r="B34" s="24" t="n">
        <v>0.0036</v>
      </c>
      <c r="C34" s="10" t="s">
        <v>870</v>
      </c>
    </row>
    <row r="35" customFormat="false" ht="15" hidden="false" customHeight="false" outlineLevel="0" collapsed="false">
      <c r="A35" s="42" t="n">
        <v>44409</v>
      </c>
      <c r="B35" s="24" t="n">
        <v>0.0043</v>
      </c>
      <c r="C35" s="10" t="s">
        <v>870</v>
      </c>
    </row>
    <row r="36" customFormat="false" ht="15" hidden="false" customHeight="false" outlineLevel="0" collapsed="false">
      <c r="A36" s="42" t="n">
        <v>44440</v>
      </c>
      <c r="B36" s="24" t="n">
        <v>0.0044</v>
      </c>
      <c r="C36" s="10" t="s">
        <v>870</v>
      </c>
    </row>
    <row r="37" customFormat="false" ht="15" hidden="false" customHeight="false" outlineLevel="0" collapsed="false">
      <c r="A37" s="42" t="n">
        <v>44470</v>
      </c>
      <c r="B37" s="24" t="n">
        <v>0.0049</v>
      </c>
      <c r="C37" s="10" t="s">
        <v>870</v>
      </c>
    </row>
    <row r="38" customFormat="false" ht="15" hidden="false" customHeight="false" outlineLevel="0" collapsed="false">
      <c r="A38" s="42" t="n">
        <v>44501</v>
      </c>
      <c r="B38" s="24" t="n">
        <v>0.0059</v>
      </c>
      <c r="C38" s="10" t="s">
        <v>870</v>
      </c>
    </row>
    <row r="39" customFormat="false" ht="15" hidden="false" customHeight="false" outlineLevel="0" collapsed="false">
      <c r="A39" s="42" t="n">
        <v>44531</v>
      </c>
      <c r="B39" s="24" t="n">
        <v>0.0077</v>
      </c>
      <c r="C39" s="10" t="s">
        <v>870</v>
      </c>
    </row>
    <row r="40" customFormat="false" ht="15" hidden="false" customHeight="false" outlineLevel="0" collapsed="false">
      <c r="A40" s="42" t="n">
        <v>44562</v>
      </c>
      <c r="B40" s="24" t="n">
        <v>0.0073</v>
      </c>
      <c r="C40" s="10" t="s">
        <v>870</v>
      </c>
    </row>
    <row r="41" customFormat="false" ht="15" hidden="false" customHeight="false" outlineLevel="0" collapsed="false">
      <c r="A41" s="42" t="n">
        <v>44593</v>
      </c>
      <c r="B41" s="24" t="n">
        <v>0.0076</v>
      </c>
      <c r="C41" s="10" t="s">
        <v>870</v>
      </c>
    </row>
    <row r="42" customFormat="false" ht="15" hidden="false" customHeight="false" outlineLevel="0" collapsed="false">
      <c r="A42" s="42" t="n">
        <v>44621</v>
      </c>
      <c r="B42" s="24" t="n">
        <v>0.0093</v>
      </c>
      <c r="C42" s="10" t="s">
        <v>870</v>
      </c>
    </row>
    <row r="43" customFormat="false" ht="15" hidden="false" customHeight="false" outlineLevel="0" collapsed="false">
      <c r="A43" s="42" t="n">
        <v>44652</v>
      </c>
      <c r="B43" s="24" t="n">
        <v>0.0083</v>
      </c>
      <c r="C43" s="10" t="s">
        <v>870</v>
      </c>
    </row>
    <row r="44" customFormat="false" ht="15" hidden="false" customHeight="false" outlineLevel="0" collapsed="false">
      <c r="A44" s="42" t="n">
        <v>44682</v>
      </c>
      <c r="B44" s="24" t="n">
        <v>0.0103</v>
      </c>
      <c r="C44" s="10" t="s">
        <v>870</v>
      </c>
    </row>
    <row r="45" customFormat="false" ht="15" hidden="false" customHeight="false" outlineLevel="0" collapsed="false">
      <c r="A45" s="42" t="n">
        <v>44713</v>
      </c>
      <c r="B45" s="24" t="n">
        <v>0.0102</v>
      </c>
      <c r="C45" s="10" t="s">
        <v>870</v>
      </c>
    </row>
    <row r="46" customFormat="false" ht="15" hidden="false" customHeight="false" outlineLevel="0" collapsed="false">
      <c r="A46" s="42" t="n">
        <v>44743</v>
      </c>
      <c r="B46" s="24" t="n">
        <v>0.0103</v>
      </c>
      <c r="C46" s="10" t="s">
        <v>870</v>
      </c>
    </row>
    <row r="47" customFormat="false" ht="15" hidden="false" customHeight="false" outlineLevel="0" collapsed="false">
      <c r="A47" s="42" t="n">
        <v>44774</v>
      </c>
      <c r="B47" s="24" t="n">
        <v>0.0117</v>
      </c>
      <c r="C47" s="10" t="s">
        <v>870</v>
      </c>
    </row>
    <row r="48" customFormat="false" ht="15" hidden="false" customHeight="false" outlineLevel="0" collapsed="false">
      <c r="A48" s="42" t="n">
        <v>44805</v>
      </c>
      <c r="B48" s="24" t="n">
        <v>0.0107</v>
      </c>
      <c r="C48" s="10" t="s">
        <v>870</v>
      </c>
    </row>
    <row r="49" customFormat="false" ht="15" hidden="false" customHeight="false" outlineLevel="0" collapsed="false">
      <c r="A49" s="42" t="n">
        <v>44835</v>
      </c>
      <c r="B49" s="24" t="n">
        <v>0.0102</v>
      </c>
      <c r="C49" s="10" t="s">
        <v>870</v>
      </c>
    </row>
    <row r="50" customFormat="false" ht="15" hidden="false" customHeight="false" outlineLevel="0" collapsed="false">
      <c r="A50" s="42" t="n">
        <v>44866</v>
      </c>
      <c r="B50" s="24" t="n">
        <v>0.0102</v>
      </c>
      <c r="C50" s="10" t="s">
        <v>870</v>
      </c>
    </row>
    <row r="51" customFormat="false" ht="15" hidden="false" customHeight="false" outlineLevel="0" collapsed="false">
      <c r="A51" s="42" t="n">
        <v>44896</v>
      </c>
      <c r="B51" s="24" t="n">
        <v>0.0112</v>
      </c>
      <c r="C51" s="10" t="s">
        <v>870</v>
      </c>
    </row>
    <row r="52" customFormat="false" ht="15" hidden="false" customHeight="false" outlineLevel="0" collapsed="false">
      <c r="A52" s="42" t="n">
        <v>44927</v>
      </c>
      <c r="B52" s="24" t="n">
        <v>0.0112</v>
      </c>
      <c r="C52" s="10" t="s">
        <v>870</v>
      </c>
    </row>
    <row r="53" customFormat="false" ht="15" hidden="false" customHeight="false" outlineLevel="0" collapsed="false">
      <c r="A53" s="42" t="n">
        <v>44958</v>
      </c>
      <c r="B53" s="24" t="n">
        <v>0.0092</v>
      </c>
      <c r="C53" s="10" t="s">
        <v>870</v>
      </c>
    </row>
    <row r="54" customFormat="false" ht="15" hidden="false" customHeight="false" outlineLevel="0" collapsed="false">
      <c r="A54" s="42" t="n">
        <v>44986</v>
      </c>
      <c r="B54" s="24" t="n">
        <v>0.0117</v>
      </c>
      <c r="C54" s="10" t="s">
        <v>870</v>
      </c>
    </row>
    <row r="55" customFormat="false" ht="15" hidden="false" customHeight="false" outlineLevel="0" collapsed="false">
      <c r="A55" s="42" t="n">
        <v>45017</v>
      </c>
      <c r="B55" s="24" t="n">
        <v>0.0092</v>
      </c>
      <c r="C55" s="10" t="s">
        <v>870</v>
      </c>
    </row>
    <row r="56" customFormat="false" ht="15" hidden="false" customHeight="false" outlineLevel="0" collapsed="false">
      <c r="A56" s="42" t="n">
        <v>45047</v>
      </c>
      <c r="B56" s="24" t="n">
        <v>0.0112</v>
      </c>
      <c r="C56" s="10" t="s">
        <v>870</v>
      </c>
    </row>
    <row r="57" customFormat="false" ht="15" hidden="false" customHeight="false" outlineLevel="0" collapsed="false">
      <c r="A57" s="42" t="n">
        <v>45078</v>
      </c>
      <c r="B57" s="24" t="n">
        <v>0.0107</v>
      </c>
      <c r="C57" s="10" t="s">
        <v>870</v>
      </c>
    </row>
    <row r="58" customFormat="false" ht="15" hidden="false" customHeight="false" outlineLevel="0" collapsed="false">
      <c r="A58" s="42" t="n">
        <v>45108</v>
      </c>
      <c r="B58" s="24" t="n">
        <v>0.0107</v>
      </c>
      <c r="C58" s="10" t="s">
        <v>870</v>
      </c>
    </row>
    <row r="59" customFormat="false" ht="15" hidden="false" customHeight="false" outlineLevel="0" collapsed="false">
      <c r="A59" s="42" t="n">
        <v>45139</v>
      </c>
      <c r="B59" s="24" t="n">
        <v>0.0114</v>
      </c>
      <c r="C59" s="10" t="s">
        <v>870</v>
      </c>
    </row>
    <row r="60" customFormat="false" ht="15" hidden="false" customHeight="false" outlineLevel="0" collapsed="false">
      <c r="A60" s="42" t="n">
        <v>45170</v>
      </c>
      <c r="B60" s="24" t="n">
        <v>0.0097</v>
      </c>
      <c r="C60" s="10" t="s">
        <v>870</v>
      </c>
    </row>
    <row r="61" customFormat="false" ht="15" hidden="false" customHeight="false" outlineLevel="0" collapsed="false">
      <c r="A61" s="42" t="n">
        <v>45200</v>
      </c>
      <c r="B61" s="24" t="n">
        <v>0.01</v>
      </c>
      <c r="C61" s="10" t="s">
        <v>870</v>
      </c>
    </row>
    <row r="62" customFormat="false" ht="15" hidden="false" customHeight="false" outlineLevel="0" collapsed="false">
      <c r="A62" s="42" t="n">
        <v>45231</v>
      </c>
      <c r="B62" s="24" t="n">
        <v>0.0092</v>
      </c>
      <c r="C62" s="10" t="s">
        <v>870</v>
      </c>
    </row>
    <row r="63" customFormat="false" ht="15" hidden="false" customHeight="false" outlineLevel="0" collapsed="false">
      <c r="A63" s="42" t="n">
        <v>45261</v>
      </c>
      <c r="B63" s="24" t="n">
        <v>0.0089</v>
      </c>
      <c r="C63" s="10" t="s">
        <v>870</v>
      </c>
    </row>
    <row r="64" customFormat="false" ht="15" hidden="false" customHeight="false" outlineLevel="0" collapsed="false">
      <c r="A64" s="42" t="n">
        <v>45292</v>
      </c>
      <c r="B64" s="24" t="n">
        <v>0.0097</v>
      </c>
      <c r="C64" s="10" t="s">
        <v>870</v>
      </c>
    </row>
    <row r="65" customFormat="false" ht="15" hidden="false" customHeight="false" outlineLevel="0" collapsed="false">
      <c r="A65" s="42" t="n">
        <v>45323</v>
      </c>
      <c r="B65" s="24" t="n">
        <v>0.008</v>
      </c>
      <c r="C65" s="10" t="s">
        <v>870</v>
      </c>
    </row>
    <row r="66" customFormat="false" ht="15" hidden="false" customHeight="false" outlineLevel="0" collapsed="false">
      <c r="A66" s="42" t="n">
        <v>45352</v>
      </c>
      <c r="B66" s="24" t="n">
        <v>0.0083</v>
      </c>
      <c r="C66" s="10" t="s">
        <v>870</v>
      </c>
    </row>
    <row r="67" customFormat="false" ht="15" hidden="false" customHeight="false" outlineLevel="0" collapsed="false">
      <c r="A67" s="42" t="n">
        <v>45383</v>
      </c>
      <c r="B67" s="24" t="n">
        <v>0.0089</v>
      </c>
      <c r="C67" s="10" t="s">
        <v>870</v>
      </c>
    </row>
    <row r="68" customFormat="false" ht="15" hidden="false" customHeight="false" outlineLevel="0" collapsed="false">
      <c r="A68" s="42" t="n">
        <v>45413</v>
      </c>
      <c r="B68" s="24" t="n">
        <v>0.0083</v>
      </c>
      <c r="C68" s="10" t="s">
        <v>870</v>
      </c>
    </row>
    <row r="69" customFormat="false" ht="15" hidden="false" customHeight="false" outlineLevel="0" collapsed="false">
      <c r="A69" s="42" t="n">
        <v>45444</v>
      </c>
      <c r="B69" s="24" t="n">
        <v>0.0079</v>
      </c>
      <c r="C69" s="10" t="s">
        <v>870</v>
      </c>
    </row>
    <row r="70" customFormat="false" ht="15" hidden="false" customHeight="false" outlineLevel="0" collapsed="false">
      <c r="A70" s="42" t="n">
        <v>45474</v>
      </c>
      <c r="B70" s="24" t="n">
        <v>0.0091</v>
      </c>
      <c r="C70" s="10" t="s">
        <v>870</v>
      </c>
    </row>
    <row r="71" customFormat="false" ht="15" hidden="false" customHeight="false" outlineLevel="0" collapsed="false">
      <c r="A71" s="42" t="n">
        <v>45505</v>
      </c>
      <c r="B71" s="24" t="n">
        <v>0.0087</v>
      </c>
      <c r="C71" s="10" t="s">
        <v>870</v>
      </c>
    </row>
    <row r="72" customFormat="false" ht="15" hidden="false" customHeight="false" outlineLevel="0" collapsed="false">
      <c r="A72" s="42" t="n">
        <v>45536</v>
      </c>
      <c r="B72" s="24" t="n">
        <v>0.0084</v>
      </c>
      <c r="C72" s="10" t="s">
        <v>870</v>
      </c>
    </row>
    <row r="73" customFormat="false" ht="15" hidden="false" customHeight="false" outlineLevel="0" collapsed="false">
      <c r="A73" s="42" t="n">
        <v>45566</v>
      </c>
      <c r="B73" s="24" t="n">
        <v>0.0093</v>
      </c>
      <c r="C73" s="10" t="s">
        <v>870</v>
      </c>
    </row>
    <row r="74" customFormat="false" ht="15" hidden="false" customHeight="false" outlineLevel="0" collapsed="false">
      <c r="A74" s="42" t="n">
        <v>45597</v>
      </c>
      <c r="B74" s="24" t="n">
        <v>0.0079</v>
      </c>
      <c r="C74" s="10" t="s">
        <v>870</v>
      </c>
    </row>
    <row r="75" customFormat="false" ht="15" hidden="false" customHeight="false" outlineLevel="0" collapsed="false">
      <c r="A75" s="42" t="n">
        <v>45627</v>
      </c>
      <c r="B75" s="24" t="n">
        <v>0.0093</v>
      </c>
      <c r="C75" s="10" t="s">
        <v>870</v>
      </c>
    </row>
    <row r="76" customFormat="false" ht="15" hidden="false" customHeight="false" outlineLevel="0" collapsed="false">
      <c r="A76" s="42" t="n">
        <v>45658</v>
      </c>
      <c r="B76" s="24" t="n">
        <v>0.0101</v>
      </c>
      <c r="C76" s="10" t="s">
        <v>870</v>
      </c>
    </row>
    <row r="77" customFormat="false" ht="15" hidden="false" customHeight="false" outlineLevel="0" collapsed="false">
      <c r="A77" s="42" t="n">
        <v>45689</v>
      </c>
      <c r="B77" s="24" t="n">
        <v>0.0099</v>
      </c>
      <c r="C77" s="10" t="s">
        <v>870</v>
      </c>
    </row>
    <row r="78" customFormat="false" ht="15" hidden="false" customHeight="false" outlineLevel="0" collapsed="false">
      <c r="A78" s="42" t="n">
        <v>45717</v>
      </c>
      <c r="B78" s="24" t="n">
        <v>0.0096</v>
      </c>
      <c r="C78" s="10" t="s">
        <v>870</v>
      </c>
    </row>
    <row r="79" customFormat="false" ht="15" hidden="false" customHeight="false" outlineLevel="0" collapsed="false">
      <c r="A79" s="42" t="n">
        <v>45748</v>
      </c>
      <c r="B79" s="24" t="n">
        <v>0.0106</v>
      </c>
      <c r="C79" s="10" t="s">
        <v>870</v>
      </c>
    </row>
    <row r="80" customFormat="false" ht="15" hidden="false" customHeight="false" outlineLevel="0" collapsed="false">
      <c r="A80" s="42" t="n">
        <v>45778</v>
      </c>
      <c r="B80" s="24" t="n">
        <v>0.0114</v>
      </c>
      <c r="C80" s="10" t="s">
        <v>870</v>
      </c>
    </row>
    <row r="81" customFormat="false" ht="15" hidden="false" customHeight="false" outlineLevel="0" collapsed="false">
      <c r="A81" s="42" t="n">
        <v>45809</v>
      </c>
      <c r="B81" s="24" t="n">
        <v>0.011</v>
      </c>
      <c r="C81" s="10" t="s">
        <v>870</v>
      </c>
    </row>
    <row r="82" customFormat="false" ht="15" hidden="false" customHeight="false" outlineLevel="0" collapsed="false">
      <c r="A82" s="42" t="n">
        <v>45839</v>
      </c>
      <c r="B82" s="24" t="n">
        <v>0.0128</v>
      </c>
      <c r="C82" s="10" t="s">
        <v>870</v>
      </c>
    </row>
    <row r="83" customFormat="false" ht="15" hidden="false" customHeight="false" outlineLevel="0" collapsed="false">
      <c r="A83" s="42" t="n">
        <v>45870</v>
      </c>
      <c r="B83" s="24" t="n">
        <v>0.0116</v>
      </c>
      <c r="C83" s="10" t="s">
        <v>870</v>
      </c>
    </row>
    <row r="84" customFormat="false" ht="15" hidden="false" customHeight="false" outlineLevel="0" collapsed="false">
      <c r="A84" s="42" t="n">
        <v>45901</v>
      </c>
      <c r="B84" s="24" t="n">
        <v>0.0122</v>
      </c>
      <c r="C84" s="10" t="s">
        <v>870</v>
      </c>
    </row>
    <row r="85" customFormat="false" ht="15" hidden="false" customHeight="false" outlineLevel="0" collapsed="false">
      <c r="A85" s="42" t="n">
        <v>45931</v>
      </c>
      <c r="B85" s="24" t="n">
        <v>0.0128</v>
      </c>
      <c r="C85" s="10" t="s">
        <v>870</v>
      </c>
    </row>
    <row r="86" customFormat="false" ht="15" hidden="false" customHeight="false" outlineLevel="0" collapsed="false">
      <c r="A86" s="42" t="n">
        <v>45962</v>
      </c>
      <c r="B86" s="24" t="n">
        <v>0.0105</v>
      </c>
      <c r="C86" s="10" t="s">
        <v>870</v>
      </c>
    </row>
    <row r="87" customFormat="false" ht="15" hidden="false" customHeight="false" outlineLevel="0" collapsed="false">
      <c r="A87" s="42" t="n">
        <v>45992</v>
      </c>
      <c r="B87" s="24" t="n">
        <v>0.0122</v>
      </c>
      <c r="C87" s="10" t="s">
        <v>870</v>
      </c>
    </row>
    <row r="88" customFormat="false" ht="15" hidden="false" customHeight="false" outlineLevel="0" collapsed="false">
      <c r="A88" s="42" t="n">
        <v>46023</v>
      </c>
      <c r="B88" s="24" t="n">
        <v>0.0116</v>
      </c>
      <c r="C88" s="10" t="s">
        <v>870</v>
      </c>
    </row>
    <row r="89" customFormat="false" ht="15" hidden="false" customHeight="false" outlineLevel="0" collapsed="false">
      <c r="A89" s="42" t="n">
        <v>46054</v>
      </c>
      <c r="B89" s="24" t="n">
        <v>0.01</v>
      </c>
      <c r="C89" s="10" t="s">
        <v>870</v>
      </c>
    </row>
    <row r="90" customFormat="false" ht="15" hidden="false" customHeight="false" outlineLevel="0" collapsed="false">
      <c r="A90" s="42" t="n">
        <v>46082</v>
      </c>
      <c r="B90" s="24" t="n">
        <v>0.0121</v>
      </c>
      <c r="C90" s="10" t="s">
        <v>870</v>
      </c>
    </row>
    <row r="91" customFormat="false" ht="15" hidden="false" customHeight="false" outlineLevel="0" collapsed="false">
      <c r="A91" s="42" t="n">
        <v>46113</v>
      </c>
      <c r="B91" s="24" t="n">
        <v>0.0109</v>
      </c>
      <c r="C91" s="10" t="s">
        <v>870</v>
      </c>
    </row>
    <row r="92" customFormat="false" ht="15" hidden="false" customHeight="false" outlineLevel="0" collapsed="false">
      <c r="A92" s="42" t="n">
        <v>46143</v>
      </c>
      <c r="B92" s="24" t="n">
        <v>0.0107</v>
      </c>
      <c r="C92" s="10" t="s">
        <v>870</v>
      </c>
    </row>
    <row r="93" customFormat="false" ht="15" hidden="false" customHeight="false" outlineLevel="0" collapsed="false">
      <c r="A93" s="42" t="n">
        <v>46174</v>
      </c>
      <c r="B93" s="24" t="n">
        <v>0.0112</v>
      </c>
      <c r="C93" s="10" t="s">
        <v>870</v>
      </c>
    </row>
    <row r="94" customFormat="false" ht="15" hidden="false" customHeight="false" outlineLevel="0" collapsed="false">
      <c r="A94" s="42" t="n">
        <v>46204</v>
      </c>
      <c r="B94" s="24" t="n">
        <v>0.0122</v>
      </c>
      <c r="C94" s="10" t="s">
        <v>870</v>
      </c>
    </row>
    <row r="95" customFormat="false" ht="15" hidden="false" customHeight="false" outlineLevel="0" collapsed="false">
      <c r="A95" s="42" t="n">
        <v>46235</v>
      </c>
      <c r="B95" s="24" t="n">
        <v>0.0109</v>
      </c>
      <c r="C95" s="10" t="s">
        <v>870</v>
      </c>
    </row>
    <row r="96" customFormat="false" ht="15" hidden="false" customHeight="false" outlineLevel="0" collapsed="false">
      <c r="A96" s="42" t="n">
        <v>46266</v>
      </c>
      <c r="B96" s="24" t="n">
        <v>0.0103</v>
      </c>
      <c r="C96" s="10" t="s">
        <v>871</v>
      </c>
    </row>
    <row r="98" customFormat="false" ht="15" hidden="false" customHeight="false" outlineLevel="0" collapsed="false">
      <c r="A98" s="36" t="s">
        <v>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2026-09-30T01:26:35Z</dcterms:created>
  <dc:creator>openpyxl</dc:creator>
  <dc:description/>
  <dc:language>en-US</dc:language>
  <cp:lastModifiedBy/>
  <dcterms:modified xsi:type="dcterms:W3CDTF">2026-09-30T01:26:36Z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